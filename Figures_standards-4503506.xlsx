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OC_data" sheetId="1" state="visible" r:id="rId3"/>
    <sheet name="Fig2_FFpp" sheetId="2" state="visible" r:id="rId4"/>
    <sheet name="Fig3_CelebDF" sheetId="3" state="visible" r:id="rId5"/>
    <sheet name="Fig6_ASVspoof" sheetId="4" state="visible" r:id="rId6"/>
    <sheet name="Fig7_FAV_Visual" sheetId="5" state="visible" r:id="rId7"/>
    <sheet name="Fig8_FAV_Audio" sheetId="6" state="visible" r:id="rId8"/>
    <sheet name="Fig9_FAV_Fusion" sheetId="7" state="visible" r:id="rId9"/>
    <sheet name="Fig10_Latenc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<sst xmlns="http://schemas.openxmlformats.org/spreadsheetml/2006/main" count="89" uniqueCount="40">
  <si>
    <t xml:space="preserve">FF++ C23 FPR</t>
  </si>
  <si>
    <t xml:space="preserve">FF++ C23 TPR</t>
  </si>
  <si>
    <t xml:space="preserve">Celeb-DF v2 FPR</t>
  </si>
  <si>
    <t xml:space="preserve">Celeb-DF v2 TPR</t>
  </si>
  <si>
    <t xml:space="preserve">ASVspoof 2019 LA FPR</t>
  </si>
  <si>
    <t xml:space="preserve">ASVspoof 2019 LA TPR</t>
  </si>
  <si>
    <t xml:space="preserve">FakeAVCeleb v1.2 Visual FPR</t>
  </si>
  <si>
    <t xml:space="preserve">FakeAVCeleb v1.2 Visual TPR</t>
  </si>
  <si>
    <t xml:space="preserve">FakeAVCeleb v1.2 Audio FPR</t>
  </si>
  <si>
    <t xml:space="preserve">FakeAVCeleb v1.2 Audio TPR</t>
  </si>
  <si>
    <t xml:space="preserve">FakeAVCeleb v1.2 AV Fusion FPR</t>
  </si>
  <si>
    <t xml:space="preserve">FakeAVCeleb v1.2 AV Fusion TPR</t>
  </si>
  <si>
    <t xml:space="preserve">Dataset</t>
  </si>
  <si>
    <t xml:space="preserve">TN</t>
  </si>
  <si>
    <t xml:space="preserve">FP</t>
  </si>
  <si>
    <t xml:space="preserve">FN</t>
  </si>
  <si>
    <t xml:space="preserve">TP</t>
  </si>
  <si>
    <t xml:space="preserve">AUC</t>
  </si>
  <si>
    <t xml:space="preserve">Random FPR</t>
  </si>
  <si>
    <t xml:space="preserve">Random TPR</t>
  </si>
  <si>
    <t xml:space="preserve">FF++ C23</t>
  </si>
  <si>
    <t xml:space="preserve">Celeb-DF v2</t>
  </si>
  <si>
    <t xml:space="preserve">ASVspoof 2019 LA</t>
  </si>
  <si>
    <t xml:space="preserve">FakeAVCeleb v1.2 Visual</t>
  </si>
  <si>
    <t xml:space="preserve">FakeAVCeleb v1.2 Audio</t>
  </si>
  <si>
    <t xml:space="preserve">FakeAVCeleb v1.2 AV Fusion</t>
  </si>
  <si>
    <t xml:space="preserve">Filled from roc_export.xlsx (Colab). Row 2 of each ROC column is the (0,0) origin point.</t>
  </si>
  <si>
    <t xml:space="preserve">ASVspoof confusion matrix at the equal-error-rate threshold; all others at threshold 0 of the SVM decision function.</t>
  </si>
  <si>
    <t xml:space="preserve">Real</t>
  </si>
  <si>
    <t xml:space="preserve">Fake</t>
  </si>
  <si>
    <t xml:space="preserve">True label</t>
  </si>
  <si>
    <t xml:space="preserve">Predicted label</t>
  </si>
  <si>
    <t xml:space="preserve">Random (0.500)</t>
  </si>
  <si>
    <t xml:space="preserve">Stage</t>
  </si>
  <si>
    <t xml:space="preserve">Mean (ms)</t>
  </si>
  <si>
    <t xml:space="preserve">Image loading</t>
  </si>
  <si>
    <t xml:space="preserve">Preprocessing</t>
  </si>
  <si>
    <t xml:space="preserve">SVM decision</t>
  </si>
  <si>
    <t xml:space="preserve">EfficientNetV2-S forward pass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</si>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</sst>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375623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2"/>
      <color rgb="FF262626"/>
      <name val="Calibri"/>
      <family val="0"/>
      <charset val="1"/>
    </font>
    <font>
      <b val="true"/>
      <sz val="13"/>
      <color rgb="FF262626"/>
      <name val="Calibri"/>
      <family val="0"/>
      <charset val="1"/>
    </font>
    <font>
      <b val="true"/>
      <sz val="30"/>
      <color rgb="FF1F3864"/>
      <name val="Calibri"/>
      <family val="0"/>
      <charset val="1"/>
    </font>
    <font>
      <sz val="11"/>
      <color rgb="FFFFFFFF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1"/>
      <color rgb="FF262626"/>
      <name val="Calibri"/>
      <family val="2"/>
    </font>
    <font>
      <sz val="9"/>
      <color rgb="FF262626"/>
      <name val="Calibri"/>
      <family val="2"/>
    </font>
    <font>
      <sz val="9"/>
      <color rgb="FF404040"/>
      <name val="Calibri"/>
      <family val="2"/>
    </font>
    <font>
      <sz val="10"/>
      <color rgb="FF404040"/>
      <name val="Calibri"/>
      <family val="2"/>
    </font>
    <font>
      <sz val="11"/>
      <name val="Calibri"/>
      <family val="0"/>
      <charset val="1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0"/>
        <b val="1"/>
        <color rgb="FFFFFFFF"/>
        <sz val="3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375623"/>
      <rgbColor rgb="FF40404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100" b="1" u="none" strike="noStrike">
                <a:solidFill>
                  <a:srgbClr val="262626"/>
                </a:solidFill>
                <a:uFillTx/>
                <a:latin typeface="Calibri"/>
              </a:rPr>
              <a:t>Fine-tuned EfficientNetV2-S + SVM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900" b="0" u="none" strike="noStrike">
                <a:solidFill>
                  <a:srgbClr val="262626"/>
                </a:solidFill>
                <a:uFillTx/>
                <a:latin typeface="Calibri"/>
              </a:rPr>
              <a:t>(FF++ C23)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Fig2_FFpp!$G$20</c:f>
              <c:strCache>
                <c:ptCount val="1"/>
                <c:pt idx="0">
                  <c:v>FF++ C23 (AUC = 0.985)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ROC_data!$A$2:$A$203</c:f>
              <c:numCache>
                <c:formatCode>General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0.005</c:v>
                </c:pt>
                <c:pt idx="3">
                  <c:v>0.01</c:v>
                </c:pt>
                <c:pt idx="4">
                  <c:v>0.015</c:v>
                </c:pt>
                <c:pt idx="5">
                  <c:v>0.02</c:v>
                </c:pt>
                <c:pt idx="6">
                  <c:v>0.025</c:v>
                </c:pt>
                <c:pt idx="7">
                  <c:v>0.03</c:v>
                </c:pt>
                <c:pt idx="8">
                  <c:v>0.035</c:v>
                </c:pt>
                <c:pt idx="9">
                  <c:v>0.04</c:v>
                </c:pt>
                <c:pt idx="10">
                  <c:v>0.045</c:v>
                </c:pt>
                <c:pt idx="11">
                  <c:v>0.05</c:v>
                </c:pt>
                <c:pt idx="12">
                  <c:v>0.055</c:v>
                </c:pt>
                <c:pt idx="13">
                  <c:v>0.06</c:v>
                </c:pt>
                <c:pt idx="14">
                  <c:v>0.065</c:v>
                </c:pt>
                <c:pt idx="15">
                  <c:v>0.07</c:v>
                </c:pt>
                <c:pt idx="16">
                  <c:v>0.075</c:v>
                </c:pt>
                <c:pt idx="17">
                  <c:v>0.08</c:v>
                </c:pt>
                <c:pt idx="18">
                  <c:v>0.085</c:v>
                </c:pt>
                <c:pt idx="19">
                  <c:v>0.09</c:v>
                </c:pt>
                <c:pt idx="20">
                  <c:v>0.095</c:v>
                </c:pt>
                <c:pt idx="21">
                  <c:v>0.1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</c:v>
                </c:pt>
                <c:pt idx="29">
                  <c:v>0.14</c:v>
                </c:pt>
                <c:pt idx="30">
                  <c:v>0.145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</c:v>
                </c:pt>
                <c:pt idx="35">
                  <c:v>0.17</c:v>
                </c:pt>
                <c:pt idx="36">
                  <c:v>0.175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0.195</c:v>
                </c:pt>
                <c:pt idx="41">
                  <c:v>0.2</c:v>
                </c:pt>
                <c:pt idx="42">
                  <c:v>0.205</c:v>
                </c:pt>
                <c:pt idx="43">
                  <c:v>0.21</c:v>
                </c:pt>
                <c:pt idx="44">
                  <c:v>0.215</c:v>
                </c:pt>
                <c:pt idx="45">
                  <c:v>0.22</c:v>
                </c:pt>
                <c:pt idx="46">
                  <c:v>0.225</c:v>
                </c:pt>
                <c:pt idx="47">
                  <c:v>0.23</c:v>
                </c:pt>
                <c:pt idx="48">
                  <c:v>0.235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</c:v>
                </c:pt>
                <c:pt idx="55">
                  <c:v>0.27</c:v>
                </c:pt>
                <c:pt idx="56">
                  <c:v>0.275</c:v>
                </c:pt>
                <c:pt idx="57">
                  <c:v>0.28</c:v>
                </c:pt>
                <c:pt idx="58">
                  <c:v>0.285</c:v>
                </c:pt>
                <c:pt idx="59">
                  <c:v>0.29</c:v>
                </c:pt>
                <c:pt idx="60">
                  <c:v>0.295</c:v>
                </c:pt>
                <c:pt idx="61">
                  <c:v>0.3</c:v>
                </c:pt>
                <c:pt idx="62">
                  <c:v>0.305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</c:v>
                </c:pt>
                <c:pt idx="67">
                  <c:v>0.33</c:v>
                </c:pt>
                <c:pt idx="68">
                  <c:v>0.335</c:v>
                </c:pt>
                <c:pt idx="69">
                  <c:v>0.34</c:v>
                </c:pt>
                <c:pt idx="70">
                  <c:v>0.345</c:v>
                </c:pt>
                <c:pt idx="71">
                  <c:v>0.35</c:v>
                </c:pt>
                <c:pt idx="72">
                  <c:v>0.355</c:v>
                </c:pt>
                <c:pt idx="73">
                  <c:v>0.36</c:v>
                </c:pt>
                <c:pt idx="74">
                  <c:v>0.365</c:v>
                </c:pt>
                <c:pt idx="75">
                  <c:v>0.37</c:v>
                </c:pt>
                <c:pt idx="76">
                  <c:v>0.375</c:v>
                </c:pt>
                <c:pt idx="77">
                  <c:v>0.38</c:v>
                </c:pt>
                <c:pt idx="78">
                  <c:v>0.385</c:v>
                </c:pt>
                <c:pt idx="79">
                  <c:v>0.39</c:v>
                </c:pt>
                <c:pt idx="80">
                  <c:v>0.395</c:v>
                </c:pt>
                <c:pt idx="81">
                  <c:v>0.4</c:v>
                </c:pt>
                <c:pt idx="82">
                  <c:v>0.405</c:v>
                </c:pt>
                <c:pt idx="83">
                  <c:v>0.41</c:v>
                </c:pt>
                <c:pt idx="84">
                  <c:v>0.415</c:v>
                </c:pt>
                <c:pt idx="85">
                  <c:v>0.42</c:v>
                </c:pt>
                <c:pt idx="86">
                  <c:v>0.425</c:v>
                </c:pt>
                <c:pt idx="87">
                  <c:v>0.43</c:v>
                </c:pt>
                <c:pt idx="88">
                  <c:v>0.435</c:v>
                </c:pt>
                <c:pt idx="89">
                  <c:v>0.44</c:v>
                </c:pt>
                <c:pt idx="90">
                  <c:v>0.445</c:v>
                </c:pt>
                <c:pt idx="91">
                  <c:v>0.45</c:v>
                </c:pt>
                <c:pt idx="92">
                  <c:v>0.455</c:v>
                </c:pt>
                <c:pt idx="93">
                  <c:v>0.46</c:v>
                </c:pt>
                <c:pt idx="94">
                  <c:v>0.465</c:v>
                </c:pt>
                <c:pt idx="95">
                  <c:v>0.47</c:v>
                </c:pt>
                <c:pt idx="96">
                  <c:v>0.475</c:v>
                </c:pt>
                <c:pt idx="97">
                  <c:v>0.48</c:v>
                </c:pt>
                <c:pt idx="98">
                  <c:v>0.485</c:v>
                </c:pt>
                <c:pt idx="99">
                  <c:v>0.49</c:v>
                </c:pt>
                <c:pt idx="100">
                  <c:v>0.495</c:v>
                </c:pt>
                <c:pt idx="101">
                  <c:v>0.5</c:v>
                </c:pt>
                <c:pt idx="102">
                  <c:v>0.505</c:v>
                </c:pt>
                <c:pt idx="103">
                  <c:v>0.51</c:v>
                </c:pt>
                <c:pt idx="104">
                  <c:v>0.515</c:v>
                </c:pt>
                <c:pt idx="105">
                  <c:v>0.52</c:v>
                </c:pt>
                <c:pt idx="106">
                  <c:v>0.525</c:v>
                </c:pt>
                <c:pt idx="107">
                  <c:v>0.53</c:v>
                </c:pt>
                <c:pt idx="108">
                  <c:v>0.535</c:v>
                </c:pt>
                <c:pt idx="109">
                  <c:v>0.54</c:v>
                </c:pt>
                <c:pt idx="110">
                  <c:v>0.545</c:v>
                </c:pt>
                <c:pt idx="111">
                  <c:v>0.55</c:v>
                </c:pt>
                <c:pt idx="112">
                  <c:v>0.555</c:v>
                </c:pt>
                <c:pt idx="113">
                  <c:v>0.56</c:v>
                </c:pt>
                <c:pt idx="114">
                  <c:v>0.565</c:v>
                </c:pt>
                <c:pt idx="115">
                  <c:v>0.57</c:v>
                </c:pt>
                <c:pt idx="116">
                  <c:v>0.575</c:v>
                </c:pt>
                <c:pt idx="117">
                  <c:v>0.58</c:v>
                </c:pt>
                <c:pt idx="118">
                  <c:v>0.585</c:v>
                </c:pt>
                <c:pt idx="119">
                  <c:v>0.59</c:v>
                </c:pt>
                <c:pt idx="120">
                  <c:v>0.595</c:v>
                </c:pt>
                <c:pt idx="121">
                  <c:v>0.6</c:v>
                </c:pt>
                <c:pt idx="122">
                  <c:v>0.605</c:v>
                </c:pt>
                <c:pt idx="123">
                  <c:v>0.61</c:v>
                </c:pt>
                <c:pt idx="124">
                  <c:v>0.615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0.635</c:v>
                </c:pt>
                <c:pt idx="129">
                  <c:v>0.64</c:v>
                </c:pt>
                <c:pt idx="130">
                  <c:v>0.645</c:v>
                </c:pt>
                <c:pt idx="131">
                  <c:v>0.65</c:v>
                </c:pt>
                <c:pt idx="132">
                  <c:v>0.655</c:v>
                </c:pt>
                <c:pt idx="133">
                  <c:v>0.66</c:v>
                </c:pt>
                <c:pt idx="134">
                  <c:v>0.665</c:v>
                </c:pt>
                <c:pt idx="135">
                  <c:v>0.67</c:v>
                </c:pt>
                <c:pt idx="136">
                  <c:v>0.675</c:v>
                </c:pt>
                <c:pt idx="137">
                  <c:v>0.68</c:v>
                </c:pt>
                <c:pt idx="138">
                  <c:v>0.685</c:v>
                </c:pt>
                <c:pt idx="139">
                  <c:v>0.69</c:v>
                </c:pt>
                <c:pt idx="140">
                  <c:v>0.695</c:v>
                </c:pt>
                <c:pt idx="141">
                  <c:v>0.7</c:v>
                </c:pt>
                <c:pt idx="142">
                  <c:v>0.705</c:v>
                </c:pt>
                <c:pt idx="143">
                  <c:v>0.71</c:v>
                </c:pt>
                <c:pt idx="144">
                  <c:v>0.715</c:v>
                </c:pt>
                <c:pt idx="145">
                  <c:v>0.72</c:v>
                </c:pt>
                <c:pt idx="146">
                  <c:v>0.725</c:v>
                </c:pt>
                <c:pt idx="147">
                  <c:v>0.73</c:v>
                </c:pt>
                <c:pt idx="148">
                  <c:v>0.735</c:v>
                </c:pt>
                <c:pt idx="149">
                  <c:v>0.74</c:v>
                </c:pt>
                <c:pt idx="150">
                  <c:v>0.745</c:v>
                </c:pt>
                <c:pt idx="151">
                  <c:v>0.75</c:v>
                </c:pt>
                <c:pt idx="152">
                  <c:v>0.755</c:v>
                </c:pt>
                <c:pt idx="153">
                  <c:v>0.76</c:v>
                </c:pt>
                <c:pt idx="154">
                  <c:v>0.765</c:v>
                </c:pt>
                <c:pt idx="155">
                  <c:v>0.77</c:v>
                </c:pt>
                <c:pt idx="156">
                  <c:v>0.775</c:v>
                </c:pt>
                <c:pt idx="157">
                  <c:v>0.78</c:v>
                </c:pt>
                <c:pt idx="158">
                  <c:v>0.785</c:v>
                </c:pt>
                <c:pt idx="159">
                  <c:v>0.79</c:v>
                </c:pt>
                <c:pt idx="160">
                  <c:v>0.795</c:v>
                </c:pt>
                <c:pt idx="161">
                  <c:v>0.8</c:v>
                </c:pt>
                <c:pt idx="162">
                  <c:v>0.805</c:v>
                </c:pt>
                <c:pt idx="163">
                  <c:v>0.81</c:v>
                </c:pt>
                <c:pt idx="164">
                  <c:v>0.815</c:v>
                </c:pt>
                <c:pt idx="165">
                  <c:v>0.82</c:v>
                </c:pt>
                <c:pt idx="166">
                  <c:v>0.825</c:v>
                </c:pt>
                <c:pt idx="167">
                  <c:v>0.83</c:v>
                </c:pt>
                <c:pt idx="168">
                  <c:v>0.835</c:v>
                </c:pt>
                <c:pt idx="169">
                  <c:v>0.84</c:v>
                </c:pt>
                <c:pt idx="170">
                  <c:v>0.845</c:v>
                </c:pt>
                <c:pt idx="171">
                  <c:v>0.85</c:v>
                </c:pt>
                <c:pt idx="172">
                  <c:v>0.855</c:v>
                </c:pt>
                <c:pt idx="173">
                  <c:v>0.86</c:v>
                </c:pt>
                <c:pt idx="174">
                  <c:v>0.865</c:v>
                </c:pt>
                <c:pt idx="175">
                  <c:v>0.87</c:v>
                </c:pt>
                <c:pt idx="176">
                  <c:v>0.875</c:v>
                </c:pt>
                <c:pt idx="177">
                  <c:v>0.88</c:v>
                </c:pt>
                <c:pt idx="178">
                  <c:v>0.885</c:v>
                </c:pt>
                <c:pt idx="179">
                  <c:v>0.89</c:v>
                </c:pt>
                <c:pt idx="180">
                  <c:v>0.895</c:v>
                </c:pt>
                <c:pt idx="181">
                  <c:v>0.9</c:v>
                </c:pt>
                <c:pt idx="182">
                  <c:v>0.905</c:v>
                </c:pt>
                <c:pt idx="183">
                  <c:v>0.91</c:v>
                </c:pt>
                <c:pt idx="184">
                  <c:v>0.915</c:v>
                </c:pt>
                <c:pt idx="185">
                  <c:v>0.92</c:v>
                </c:pt>
                <c:pt idx="186">
                  <c:v>0.925</c:v>
                </c:pt>
                <c:pt idx="187">
                  <c:v>0.93</c:v>
                </c:pt>
                <c:pt idx="188">
                  <c:v>0.935</c:v>
                </c:pt>
                <c:pt idx="189">
                  <c:v>0.94</c:v>
                </c:pt>
                <c:pt idx="190">
                  <c:v>0.945</c:v>
                </c:pt>
                <c:pt idx="191">
                  <c:v>0.95</c:v>
                </c:pt>
                <c:pt idx="192">
                  <c:v>0.955</c:v>
                </c:pt>
                <c:pt idx="193">
                  <c:v>0.96</c:v>
                </c:pt>
                <c:pt idx="194">
                  <c:v>0.965</c:v>
                </c:pt>
                <c:pt idx="195">
                  <c:v>0.97</c:v>
                </c:pt>
                <c:pt idx="196">
                  <c:v>0.975</c:v>
                </c:pt>
                <c:pt idx="197">
                  <c:v>0.98</c:v>
                </c:pt>
                <c:pt idx="198">
                  <c:v>0.985</c:v>
                </c:pt>
                <c:pt idx="199">
                  <c:v>0.99</c:v>
                </c:pt>
                <c:pt idx="200">
                  <c:v>0.995</c:v>
                </c:pt>
                <c:pt idx="201">
                  <c:v>1</c:v>
                </c:pt>
              </c:numCache>
            </c:numRef>
          </c:xVal>
          <c:yVal>
            <c:numRef>
              <c:f>ROC_data!$B$2:$B$203</c:f>
              <c:numCache>
                <c:formatCode>General</c:formatCode>
                <c:ptCount val="202"/>
                <c:pt idx="0">
                  <c:v>0</c:v>
                </c:pt>
                <c:pt idx="1">
                  <c:v>0.285418303922269</c:v>
                </c:pt>
                <c:pt idx="2">
                  <c:v>0.779309852111167</c:v>
                </c:pt>
                <c:pt idx="3">
                  <c:v>0.838679717082232</c:v>
                </c:pt>
                <c:pt idx="4">
                  <c:v>0.877616632135458</c:v>
                </c:pt>
                <c:pt idx="5">
                  <c:v>0.901836107737372</c:v>
                </c:pt>
                <c:pt idx="6">
                  <c:v>0.914410230763735</c:v>
                </c:pt>
                <c:pt idx="7">
                  <c:v>0.925841251696792</c:v>
                </c:pt>
                <c:pt idx="8">
                  <c:v>0.933842966349932</c:v>
                </c:pt>
                <c:pt idx="9">
                  <c:v>0.940487247267272</c:v>
                </c:pt>
                <c:pt idx="10">
                  <c:v>0.944988211759663</c:v>
                </c:pt>
                <c:pt idx="11">
                  <c:v>0.949060512967064</c:v>
                </c:pt>
                <c:pt idx="12">
                  <c:v>0.953704365221119</c:v>
                </c:pt>
                <c:pt idx="13">
                  <c:v>0.954847467314425</c:v>
                </c:pt>
                <c:pt idx="14">
                  <c:v>0.957633778666857</c:v>
                </c:pt>
                <c:pt idx="15">
                  <c:v>0.958919768521826</c:v>
                </c:pt>
                <c:pt idx="16">
                  <c:v>0.960562977780953</c:v>
                </c:pt>
                <c:pt idx="17">
                  <c:v>0.961420304350932</c:v>
                </c:pt>
                <c:pt idx="18">
                  <c:v>0.962992069729228</c:v>
                </c:pt>
                <c:pt idx="19">
                  <c:v>0.96442094734586</c:v>
                </c:pt>
                <c:pt idx="20">
                  <c:v>0.966064156604987</c:v>
                </c:pt>
                <c:pt idx="21">
                  <c:v>0.967207258698293</c:v>
                </c:pt>
                <c:pt idx="22">
                  <c:v>0.968993355719083</c:v>
                </c:pt>
                <c:pt idx="23">
                  <c:v>0.969922126169894</c:v>
                </c:pt>
                <c:pt idx="24">
                  <c:v>0.971136672144031</c:v>
                </c:pt>
                <c:pt idx="25">
                  <c:v>0.971779667071515</c:v>
                </c:pt>
                <c:pt idx="26">
                  <c:v>0.972494105879831</c:v>
                </c:pt>
                <c:pt idx="27">
                  <c:v>0.973565764092305</c:v>
                </c:pt>
                <c:pt idx="28">
                  <c:v>0.973994427377295</c:v>
                </c:pt>
                <c:pt idx="29">
                  <c:v>0.974351646781453</c:v>
                </c:pt>
                <c:pt idx="30">
                  <c:v>0.974565978423948</c:v>
                </c:pt>
                <c:pt idx="31">
                  <c:v>0.975208973351432</c:v>
                </c:pt>
                <c:pt idx="32">
                  <c:v>0.975494748874759</c:v>
                </c:pt>
                <c:pt idx="33">
                  <c:v>0.976066299921412</c:v>
                </c:pt>
                <c:pt idx="34">
                  <c:v>0.976995070372223</c:v>
                </c:pt>
                <c:pt idx="35">
                  <c:v>0.977638065299707</c:v>
                </c:pt>
                <c:pt idx="36">
                  <c:v>0.978352504108023</c:v>
                </c:pt>
                <c:pt idx="37">
                  <c:v>0.978852611273844</c:v>
                </c:pt>
                <c:pt idx="38">
                  <c:v>0.979352718439666</c:v>
                </c:pt>
                <c:pt idx="39">
                  <c:v>0.979638493962992</c:v>
                </c:pt>
                <c:pt idx="40">
                  <c:v>0.979781381724655</c:v>
                </c:pt>
                <c:pt idx="41">
                  <c:v>0.980067157247982</c:v>
                </c:pt>
                <c:pt idx="42">
                  <c:v>0.980710152175466</c:v>
                </c:pt>
                <c:pt idx="43">
                  <c:v>0.981353147102951</c:v>
                </c:pt>
                <c:pt idx="44">
                  <c:v>0.98178181038794</c:v>
                </c:pt>
                <c:pt idx="45">
                  <c:v>0.98221047367293</c:v>
                </c:pt>
                <c:pt idx="46">
                  <c:v>0.982710580838751</c:v>
                </c:pt>
                <c:pt idx="47">
                  <c:v>0.983067800242909</c:v>
                </c:pt>
                <c:pt idx="48">
                  <c:v>0.983353575766236</c:v>
                </c:pt>
                <c:pt idx="49">
                  <c:v>0.983639351289562</c:v>
                </c:pt>
                <c:pt idx="50">
                  <c:v>0.983782239051225</c:v>
                </c:pt>
                <c:pt idx="51">
                  <c:v>0.983925126812889</c:v>
                </c:pt>
                <c:pt idx="52">
                  <c:v>0.984139458455383</c:v>
                </c:pt>
                <c:pt idx="53">
                  <c:v>0.984711009502036</c:v>
                </c:pt>
                <c:pt idx="54">
                  <c:v>0.984925341144531</c:v>
                </c:pt>
                <c:pt idx="55">
                  <c:v>0.985211116667857</c:v>
                </c:pt>
                <c:pt idx="56">
                  <c:v>0.985496892191184</c:v>
                </c:pt>
                <c:pt idx="57">
                  <c:v>0.98578266771451</c:v>
                </c:pt>
                <c:pt idx="58">
                  <c:v>0.985854111595342</c:v>
                </c:pt>
                <c:pt idx="59">
                  <c:v>0.986068443237837</c:v>
                </c:pt>
                <c:pt idx="60">
                  <c:v>0.9862113309995</c:v>
                </c:pt>
                <c:pt idx="61">
                  <c:v>0.986282774880331</c:v>
                </c:pt>
                <c:pt idx="62">
                  <c:v>0.986497106522826</c:v>
                </c:pt>
                <c:pt idx="63">
                  <c:v>0.98663999428449</c:v>
                </c:pt>
                <c:pt idx="64">
                  <c:v>0.986854325926984</c:v>
                </c:pt>
                <c:pt idx="65">
                  <c:v>0.987211545331142</c:v>
                </c:pt>
                <c:pt idx="66">
                  <c:v>0.987211545331142</c:v>
                </c:pt>
                <c:pt idx="67">
                  <c:v>0.987497320854469</c:v>
                </c:pt>
                <c:pt idx="68">
                  <c:v>0.987711652496964</c:v>
                </c:pt>
                <c:pt idx="69">
                  <c:v>0.987854540258627</c:v>
                </c:pt>
                <c:pt idx="70">
                  <c:v>0.987925984139458</c:v>
                </c:pt>
                <c:pt idx="71">
                  <c:v>0.987925984139458</c:v>
                </c:pt>
                <c:pt idx="72">
                  <c:v>0.988140315781953</c:v>
                </c:pt>
                <c:pt idx="73">
                  <c:v>0.988283203543617</c:v>
                </c:pt>
                <c:pt idx="74">
                  <c:v>0.988354647424448</c:v>
                </c:pt>
                <c:pt idx="75">
                  <c:v>0.988497535186111</c:v>
                </c:pt>
                <c:pt idx="76">
                  <c:v>0.988497535186111</c:v>
                </c:pt>
                <c:pt idx="77">
                  <c:v>0.988640422947775</c:v>
                </c:pt>
                <c:pt idx="78">
                  <c:v>0.988997642351933</c:v>
                </c:pt>
                <c:pt idx="79">
                  <c:v>0.989354861756091</c:v>
                </c:pt>
                <c:pt idx="80">
                  <c:v>0.989569193398585</c:v>
                </c:pt>
                <c:pt idx="81">
                  <c:v>0.989640637279417</c:v>
                </c:pt>
                <c:pt idx="82">
                  <c:v>0.989712081160249</c:v>
                </c:pt>
                <c:pt idx="83">
                  <c:v>0.99021218832607</c:v>
                </c:pt>
                <c:pt idx="84">
                  <c:v>0.990497963849396</c:v>
                </c:pt>
                <c:pt idx="85">
                  <c:v>0.99064085161106</c:v>
                </c:pt>
                <c:pt idx="86">
                  <c:v>0.990712295491891</c:v>
                </c:pt>
                <c:pt idx="87">
                  <c:v>0.990926627134386</c:v>
                </c:pt>
                <c:pt idx="88">
                  <c:v>0.991212402657712</c:v>
                </c:pt>
                <c:pt idx="89">
                  <c:v>0.991641065942702</c:v>
                </c:pt>
                <c:pt idx="90">
                  <c:v>0.992212616989355</c:v>
                </c:pt>
                <c:pt idx="91">
                  <c:v>0.992212616989355</c:v>
                </c:pt>
                <c:pt idx="92">
                  <c:v>0.992498392512681</c:v>
                </c:pt>
                <c:pt idx="93">
                  <c:v>0.992498392512681</c:v>
                </c:pt>
                <c:pt idx="94">
                  <c:v>0.992641280274345</c:v>
                </c:pt>
                <c:pt idx="95">
                  <c:v>0.992855611916839</c:v>
                </c:pt>
                <c:pt idx="96">
                  <c:v>0.992998499678503</c:v>
                </c:pt>
                <c:pt idx="97">
                  <c:v>0.993069943559334</c:v>
                </c:pt>
                <c:pt idx="98">
                  <c:v>0.993069943559334</c:v>
                </c:pt>
                <c:pt idx="99">
                  <c:v>0.993284275201829</c:v>
                </c:pt>
                <c:pt idx="100">
                  <c:v>0.993355719082661</c:v>
                </c:pt>
                <c:pt idx="101">
                  <c:v>0.993355719082661</c:v>
                </c:pt>
                <c:pt idx="102">
                  <c:v>0.993427162963492</c:v>
                </c:pt>
                <c:pt idx="103">
                  <c:v>0.993641494605987</c:v>
                </c:pt>
                <c:pt idx="104">
                  <c:v>0.993641494605987</c:v>
                </c:pt>
                <c:pt idx="105">
                  <c:v>0.993641494605987</c:v>
                </c:pt>
                <c:pt idx="106">
                  <c:v>0.993927270129314</c:v>
                </c:pt>
                <c:pt idx="107">
                  <c:v>0.993998714010145</c:v>
                </c:pt>
                <c:pt idx="108">
                  <c:v>0.993998714010145</c:v>
                </c:pt>
                <c:pt idx="109">
                  <c:v>0.994070157890977</c:v>
                </c:pt>
                <c:pt idx="110">
                  <c:v>0.99421304565264</c:v>
                </c:pt>
                <c:pt idx="111">
                  <c:v>0.994355933414303</c:v>
                </c:pt>
                <c:pt idx="112">
                  <c:v>0.994355933414303</c:v>
                </c:pt>
                <c:pt idx="113">
                  <c:v>0.994498821175966</c:v>
                </c:pt>
                <c:pt idx="114">
                  <c:v>0.994498821175966</c:v>
                </c:pt>
                <c:pt idx="115">
                  <c:v>0.994570265056798</c:v>
                </c:pt>
                <c:pt idx="116">
                  <c:v>0.994784596699293</c:v>
                </c:pt>
                <c:pt idx="117">
                  <c:v>0.994784596699293</c:v>
                </c:pt>
                <c:pt idx="118">
                  <c:v>0.994927484460956</c:v>
                </c:pt>
                <c:pt idx="119">
                  <c:v>0.995070372222619</c:v>
                </c:pt>
                <c:pt idx="120">
                  <c:v>0.995141816103451</c:v>
                </c:pt>
                <c:pt idx="121">
                  <c:v>0.995284703865114</c:v>
                </c:pt>
                <c:pt idx="122">
                  <c:v>0.995427591626777</c:v>
                </c:pt>
                <c:pt idx="123">
                  <c:v>0.995427591626777</c:v>
                </c:pt>
                <c:pt idx="124">
                  <c:v>0.995427591626777</c:v>
                </c:pt>
                <c:pt idx="125">
                  <c:v>0.995784811030935</c:v>
                </c:pt>
                <c:pt idx="126">
                  <c:v>0.995927698792599</c:v>
                </c:pt>
                <c:pt idx="127">
                  <c:v>0.996070586554262</c:v>
                </c:pt>
                <c:pt idx="128">
                  <c:v>0.996213474315925</c:v>
                </c:pt>
                <c:pt idx="129">
                  <c:v>0.996213474315925</c:v>
                </c:pt>
                <c:pt idx="130">
                  <c:v>0.996213474315925</c:v>
                </c:pt>
                <c:pt idx="131">
                  <c:v>0.996213474315925</c:v>
                </c:pt>
                <c:pt idx="132">
                  <c:v>0.99642780595842</c:v>
                </c:pt>
                <c:pt idx="133">
                  <c:v>0.99642780595842</c:v>
                </c:pt>
                <c:pt idx="134">
                  <c:v>0.996499249839251</c:v>
                </c:pt>
                <c:pt idx="135">
                  <c:v>0.996499249839251</c:v>
                </c:pt>
                <c:pt idx="136">
                  <c:v>0.996713581481746</c:v>
                </c:pt>
                <c:pt idx="137">
                  <c:v>0.996785025362578</c:v>
                </c:pt>
                <c:pt idx="138">
                  <c:v>0.996856469243409</c:v>
                </c:pt>
                <c:pt idx="139">
                  <c:v>0.996927913124241</c:v>
                </c:pt>
                <c:pt idx="140">
                  <c:v>0.997070800885904</c:v>
                </c:pt>
                <c:pt idx="141">
                  <c:v>0.997070800885904</c:v>
                </c:pt>
                <c:pt idx="142">
                  <c:v>0.997070800885904</c:v>
                </c:pt>
                <c:pt idx="143">
                  <c:v>0.997213688647567</c:v>
                </c:pt>
                <c:pt idx="144">
                  <c:v>0.997285132528399</c:v>
                </c:pt>
                <c:pt idx="145">
                  <c:v>0.997499464170894</c:v>
                </c:pt>
                <c:pt idx="146">
                  <c:v>0.997642351932557</c:v>
                </c:pt>
                <c:pt idx="147">
                  <c:v>0.997713795813389</c:v>
                </c:pt>
                <c:pt idx="148">
                  <c:v>0.997856683575052</c:v>
                </c:pt>
                <c:pt idx="149">
                  <c:v>0.997999571336715</c:v>
                </c:pt>
                <c:pt idx="150">
                  <c:v>0.997999571336715</c:v>
                </c:pt>
                <c:pt idx="151">
                  <c:v>0.998071015217547</c:v>
                </c:pt>
                <c:pt idx="152">
                  <c:v>0.998071015217547</c:v>
                </c:pt>
                <c:pt idx="153">
                  <c:v>0.998071015217547</c:v>
                </c:pt>
                <c:pt idx="154">
                  <c:v>0.998071015217547</c:v>
                </c:pt>
                <c:pt idx="155">
                  <c:v>0.998142459098378</c:v>
                </c:pt>
                <c:pt idx="156">
                  <c:v>0.99821390297921</c:v>
                </c:pt>
                <c:pt idx="157">
                  <c:v>0.99821390297921</c:v>
                </c:pt>
                <c:pt idx="158">
                  <c:v>0.998285346860041</c:v>
                </c:pt>
                <c:pt idx="159">
                  <c:v>0.998356790740873</c:v>
                </c:pt>
                <c:pt idx="160">
                  <c:v>0.998428234621705</c:v>
                </c:pt>
                <c:pt idx="161">
                  <c:v>0.998428234621705</c:v>
                </c:pt>
                <c:pt idx="162">
                  <c:v>0.998499678502536</c:v>
                </c:pt>
                <c:pt idx="163">
                  <c:v>0.998571122383368</c:v>
                </c:pt>
                <c:pt idx="164">
                  <c:v>0.998571122383368</c:v>
                </c:pt>
                <c:pt idx="165">
                  <c:v>0.998571122383368</c:v>
                </c:pt>
                <c:pt idx="166">
                  <c:v>0.998571122383368</c:v>
                </c:pt>
                <c:pt idx="167">
                  <c:v>0.998714010145031</c:v>
                </c:pt>
                <c:pt idx="168">
                  <c:v>0.998928341787526</c:v>
                </c:pt>
                <c:pt idx="169">
                  <c:v>0.998999785668358</c:v>
                </c:pt>
                <c:pt idx="170">
                  <c:v>0.999071229549189</c:v>
                </c:pt>
                <c:pt idx="171">
                  <c:v>0.999214117310852</c:v>
                </c:pt>
                <c:pt idx="172">
                  <c:v>0.999214117310852</c:v>
                </c:pt>
                <c:pt idx="173">
                  <c:v>0.999214117310852</c:v>
                </c:pt>
                <c:pt idx="174">
                  <c:v>0.999214117310852</c:v>
                </c:pt>
                <c:pt idx="175">
                  <c:v>0.999214117310852</c:v>
                </c:pt>
                <c:pt idx="176">
                  <c:v>0.999285561191684</c:v>
                </c:pt>
                <c:pt idx="177">
                  <c:v>0.999285561191684</c:v>
                </c:pt>
                <c:pt idx="178">
                  <c:v>0.999357005072516</c:v>
                </c:pt>
                <c:pt idx="179">
                  <c:v>0.999428448953347</c:v>
                </c:pt>
                <c:pt idx="180">
                  <c:v>0.999428448953347</c:v>
                </c:pt>
                <c:pt idx="181">
                  <c:v>0.999499892834179</c:v>
                </c:pt>
                <c:pt idx="182">
                  <c:v>0.999642780595842</c:v>
                </c:pt>
                <c:pt idx="183">
                  <c:v>0.999714224476674</c:v>
                </c:pt>
                <c:pt idx="184">
                  <c:v>0.999714224476674</c:v>
                </c:pt>
                <c:pt idx="185">
                  <c:v>0.999785668357505</c:v>
                </c:pt>
                <c:pt idx="186">
                  <c:v>0.999785668357505</c:v>
                </c:pt>
                <c:pt idx="187">
                  <c:v>0.999785668357505</c:v>
                </c:pt>
                <c:pt idx="188">
                  <c:v>0.999785668357505</c:v>
                </c:pt>
                <c:pt idx="189">
                  <c:v>0.999928556119168</c:v>
                </c:pt>
                <c:pt idx="190">
                  <c:v>0.999928556119168</c:v>
                </c:pt>
                <c:pt idx="191">
                  <c:v>0.999928556119168</c:v>
                </c:pt>
                <c:pt idx="192">
                  <c:v>0.999928556119168</c:v>
                </c:pt>
                <c:pt idx="193">
                  <c:v>0.999928556119168</c:v>
                </c:pt>
                <c:pt idx="194">
                  <c:v>0.999928556119168</c:v>
                </c:pt>
                <c:pt idx="195">
                  <c:v>0.999928556119168</c:v>
                </c:pt>
                <c:pt idx="196">
                  <c:v>0.999928556119168</c:v>
                </c:pt>
                <c:pt idx="197">
                  <c:v>0.999928556119168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Fig2_FFpp!$G$21</c:f>
              <c:strCache>
                <c:ptCount val="1"/>
                <c:pt idx="0">
                  <c:v>Random (0.500)</c:v>
                </c:pt>
              </c:strCache>
            </c:strRef>
          </c:tx>
          <c:spPr>
            <a:solidFill>
              <a:srgbClr val="808080"/>
            </a:solidFill>
            <a:ln w="1584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84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ROC_data!$U$2:$U$3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ROC_data!$V$2:$V$3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</c:ser>
        <c:axId val="80578303"/>
        <c:axId val="34808316"/>
      </c:scatterChart>
      <c:valAx>
        <c:axId val="80578303"/>
        <c:scaling>
          <c:orientation val="minMax"/>
          <c:max val="1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404040"/>
                    </a:solidFill>
                    <a:uFillTx/>
                    <a:latin typeface="Calibri"/>
                  </a:rPr>
                  <a:t>False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34808316"/>
        <c:crosses val="autoZero"/>
        <c:crossBetween val="midCat"/>
        <c:majorUnit val="0.2"/>
      </c:valAx>
      <c:valAx>
        <c:axId val="34808316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404040"/>
                    </a:solidFill>
                    <a:uFillTx/>
                    <a:latin typeface="Calibri"/>
                  </a:rPr>
                  <a:t>True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80578303"/>
        <c:crosses val="autoZero"/>
        <c:crossBetween val="midCat"/>
        <c:majorUnit val="0.2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6480">
          <a:solidFill>
            <a:srgbClr val="BFBFBF"/>
          </a:solidFill>
          <a:round/>
        </a:ln>
      </c:spPr>
      <c:txPr>
        <a:bodyPr/>
        <a:lstStyle/>
        <a:p>
          <a:pPr>
            <a:defRPr sz="900" b="0" u="none" strike="noStrike">
              <a:solidFill>
                <a:srgbClr val="40404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100" b="1" u="none" strike="noStrike">
                <a:solidFill>
                  <a:srgbClr val="262626"/>
                </a:solidFill>
                <a:uFillTx/>
                <a:latin typeface="Calibri"/>
              </a:rPr>
              <a:t>Fine-tuned EfficientNetV2-S + SVM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900" b="0" u="none" strike="noStrike">
                <a:solidFill>
                  <a:srgbClr val="262626"/>
                </a:solidFill>
                <a:uFillTx/>
                <a:latin typeface="Calibri"/>
              </a:rPr>
              <a:t>(Celeb-DF v2)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Fig3_CelebDF!$G$20</c:f>
              <c:strCache>
                <c:ptCount val="1"/>
                <c:pt idx="0">
                  <c:v>Celeb-DF v2 (AUC = 0.659)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ROC_data!$C$2:$C$203</c:f>
              <c:numCache>
                <c:formatCode>General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0.005</c:v>
                </c:pt>
                <c:pt idx="3">
                  <c:v>0.01</c:v>
                </c:pt>
                <c:pt idx="4">
                  <c:v>0.015</c:v>
                </c:pt>
                <c:pt idx="5">
                  <c:v>0.02</c:v>
                </c:pt>
                <c:pt idx="6">
                  <c:v>0.025</c:v>
                </c:pt>
                <c:pt idx="7">
                  <c:v>0.03</c:v>
                </c:pt>
                <c:pt idx="8">
                  <c:v>0.035</c:v>
                </c:pt>
                <c:pt idx="9">
                  <c:v>0.04</c:v>
                </c:pt>
                <c:pt idx="10">
                  <c:v>0.045</c:v>
                </c:pt>
                <c:pt idx="11">
                  <c:v>0.05</c:v>
                </c:pt>
                <c:pt idx="12">
                  <c:v>0.055</c:v>
                </c:pt>
                <c:pt idx="13">
                  <c:v>0.06</c:v>
                </c:pt>
                <c:pt idx="14">
                  <c:v>0.065</c:v>
                </c:pt>
                <c:pt idx="15">
                  <c:v>0.07</c:v>
                </c:pt>
                <c:pt idx="16">
                  <c:v>0.075</c:v>
                </c:pt>
                <c:pt idx="17">
                  <c:v>0.08</c:v>
                </c:pt>
                <c:pt idx="18">
                  <c:v>0.085</c:v>
                </c:pt>
                <c:pt idx="19">
                  <c:v>0.09</c:v>
                </c:pt>
                <c:pt idx="20">
                  <c:v>0.095</c:v>
                </c:pt>
                <c:pt idx="21">
                  <c:v>0.1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</c:v>
                </c:pt>
                <c:pt idx="29">
                  <c:v>0.14</c:v>
                </c:pt>
                <c:pt idx="30">
                  <c:v>0.145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</c:v>
                </c:pt>
                <c:pt idx="35">
                  <c:v>0.17</c:v>
                </c:pt>
                <c:pt idx="36">
                  <c:v>0.175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0.195</c:v>
                </c:pt>
                <c:pt idx="41">
                  <c:v>0.2</c:v>
                </c:pt>
                <c:pt idx="42">
                  <c:v>0.205</c:v>
                </c:pt>
                <c:pt idx="43">
                  <c:v>0.21</c:v>
                </c:pt>
                <c:pt idx="44">
                  <c:v>0.215</c:v>
                </c:pt>
                <c:pt idx="45">
                  <c:v>0.22</c:v>
                </c:pt>
                <c:pt idx="46">
                  <c:v>0.225</c:v>
                </c:pt>
                <c:pt idx="47">
                  <c:v>0.23</c:v>
                </c:pt>
                <c:pt idx="48">
                  <c:v>0.235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</c:v>
                </c:pt>
                <c:pt idx="55">
                  <c:v>0.27</c:v>
                </c:pt>
                <c:pt idx="56">
                  <c:v>0.275</c:v>
                </c:pt>
                <c:pt idx="57">
                  <c:v>0.28</c:v>
                </c:pt>
                <c:pt idx="58">
                  <c:v>0.285</c:v>
                </c:pt>
                <c:pt idx="59">
                  <c:v>0.29</c:v>
                </c:pt>
                <c:pt idx="60">
                  <c:v>0.295</c:v>
                </c:pt>
                <c:pt idx="61">
                  <c:v>0.3</c:v>
                </c:pt>
                <c:pt idx="62">
                  <c:v>0.305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</c:v>
                </c:pt>
                <c:pt idx="67">
                  <c:v>0.33</c:v>
                </c:pt>
                <c:pt idx="68">
                  <c:v>0.335</c:v>
                </c:pt>
                <c:pt idx="69">
                  <c:v>0.34</c:v>
                </c:pt>
                <c:pt idx="70">
                  <c:v>0.345</c:v>
                </c:pt>
                <c:pt idx="71">
                  <c:v>0.35</c:v>
                </c:pt>
                <c:pt idx="72">
                  <c:v>0.355</c:v>
                </c:pt>
                <c:pt idx="73">
                  <c:v>0.36</c:v>
                </c:pt>
                <c:pt idx="74">
                  <c:v>0.365</c:v>
                </c:pt>
                <c:pt idx="75">
                  <c:v>0.37</c:v>
                </c:pt>
                <c:pt idx="76">
                  <c:v>0.375</c:v>
                </c:pt>
                <c:pt idx="77">
                  <c:v>0.38</c:v>
                </c:pt>
                <c:pt idx="78">
                  <c:v>0.385</c:v>
                </c:pt>
                <c:pt idx="79">
                  <c:v>0.39</c:v>
                </c:pt>
                <c:pt idx="80">
                  <c:v>0.395</c:v>
                </c:pt>
                <c:pt idx="81">
                  <c:v>0.4</c:v>
                </c:pt>
                <c:pt idx="82">
                  <c:v>0.405</c:v>
                </c:pt>
                <c:pt idx="83">
                  <c:v>0.41</c:v>
                </c:pt>
                <c:pt idx="84">
                  <c:v>0.415</c:v>
                </c:pt>
                <c:pt idx="85">
                  <c:v>0.42</c:v>
                </c:pt>
                <c:pt idx="86">
                  <c:v>0.425</c:v>
                </c:pt>
                <c:pt idx="87">
                  <c:v>0.43</c:v>
                </c:pt>
                <c:pt idx="88">
                  <c:v>0.435</c:v>
                </c:pt>
                <c:pt idx="89">
                  <c:v>0.44</c:v>
                </c:pt>
                <c:pt idx="90">
                  <c:v>0.445</c:v>
                </c:pt>
                <c:pt idx="91">
                  <c:v>0.45</c:v>
                </c:pt>
                <c:pt idx="92">
                  <c:v>0.455</c:v>
                </c:pt>
                <c:pt idx="93">
                  <c:v>0.46</c:v>
                </c:pt>
                <c:pt idx="94">
                  <c:v>0.465</c:v>
                </c:pt>
                <c:pt idx="95">
                  <c:v>0.47</c:v>
                </c:pt>
                <c:pt idx="96">
                  <c:v>0.475</c:v>
                </c:pt>
                <c:pt idx="97">
                  <c:v>0.48</c:v>
                </c:pt>
                <c:pt idx="98">
                  <c:v>0.485</c:v>
                </c:pt>
                <c:pt idx="99">
                  <c:v>0.49</c:v>
                </c:pt>
                <c:pt idx="100">
                  <c:v>0.495</c:v>
                </c:pt>
                <c:pt idx="101">
                  <c:v>0.5</c:v>
                </c:pt>
                <c:pt idx="102">
                  <c:v>0.505</c:v>
                </c:pt>
                <c:pt idx="103">
                  <c:v>0.51</c:v>
                </c:pt>
                <c:pt idx="104">
                  <c:v>0.515</c:v>
                </c:pt>
                <c:pt idx="105">
                  <c:v>0.52</c:v>
                </c:pt>
                <c:pt idx="106">
                  <c:v>0.525</c:v>
                </c:pt>
                <c:pt idx="107">
                  <c:v>0.53</c:v>
                </c:pt>
                <c:pt idx="108">
                  <c:v>0.535</c:v>
                </c:pt>
                <c:pt idx="109">
                  <c:v>0.54</c:v>
                </c:pt>
                <c:pt idx="110">
                  <c:v>0.545</c:v>
                </c:pt>
                <c:pt idx="111">
                  <c:v>0.55</c:v>
                </c:pt>
                <c:pt idx="112">
                  <c:v>0.555</c:v>
                </c:pt>
                <c:pt idx="113">
                  <c:v>0.56</c:v>
                </c:pt>
                <c:pt idx="114">
                  <c:v>0.565</c:v>
                </c:pt>
                <c:pt idx="115">
                  <c:v>0.57</c:v>
                </c:pt>
                <c:pt idx="116">
                  <c:v>0.575</c:v>
                </c:pt>
                <c:pt idx="117">
                  <c:v>0.58</c:v>
                </c:pt>
                <c:pt idx="118">
                  <c:v>0.585</c:v>
                </c:pt>
                <c:pt idx="119">
                  <c:v>0.59</c:v>
                </c:pt>
                <c:pt idx="120">
                  <c:v>0.595</c:v>
                </c:pt>
                <c:pt idx="121">
                  <c:v>0.6</c:v>
                </c:pt>
                <c:pt idx="122">
                  <c:v>0.605</c:v>
                </c:pt>
                <c:pt idx="123">
                  <c:v>0.61</c:v>
                </c:pt>
                <c:pt idx="124">
                  <c:v>0.615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0.635</c:v>
                </c:pt>
                <c:pt idx="129">
                  <c:v>0.64</c:v>
                </c:pt>
                <c:pt idx="130">
                  <c:v>0.645</c:v>
                </c:pt>
                <c:pt idx="131">
                  <c:v>0.65</c:v>
                </c:pt>
                <c:pt idx="132">
                  <c:v>0.655</c:v>
                </c:pt>
                <c:pt idx="133">
                  <c:v>0.66</c:v>
                </c:pt>
                <c:pt idx="134">
                  <c:v>0.665</c:v>
                </c:pt>
                <c:pt idx="135">
                  <c:v>0.67</c:v>
                </c:pt>
                <c:pt idx="136">
                  <c:v>0.675</c:v>
                </c:pt>
                <c:pt idx="137">
                  <c:v>0.68</c:v>
                </c:pt>
                <c:pt idx="138">
                  <c:v>0.685</c:v>
                </c:pt>
                <c:pt idx="139">
                  <c:v>0.69</c:v>
                </c:pt>
                <c:pt idx="140">
                  <c:v>0.695</c:v>
                </c:pt>
                <c:pt idx="141">
                  <c:v>0.7</c:v>
                </c:pt>
                <c:pt idx="142">
                  <c:v>0.705</c:v>
                </c:pt>
                <c:pt idx="143">
                  <c:v>0.71</c:v>
                </c:pt>
                <c:pt idx="144">
                  <c:v>0.715</c:v>
                </c:pt>
                <c:pt idx="145">
                  <c:v>0.72</c:v>
                </c:pt>
                <c:pt idx="146">
                  <c:v>0.725</c:v>
                </c:pt>
                <c:pt idx="147">
                  <c:v>0.73</c:v>
                </c:pt>
                <c:pt idx="148">
                  <c:v>0.735</c:v>
                </c:pt>
                <c:pt idx="149">
                  <c:v>0.74</c:v>
                </c:pt>
                <c:pt idx="150">
                  <c:v>0.745</c:v>
                </c:pt>
                <c:pt idx="151">
                  <c:v>0.75</c:v>
                </c:pt>
                <c:pt idx="152">
                  <c:v>0.755</c:v>
                </c:pt>
                <c:pt idx="153">
                  <c:v>0.76</c:v>
                </c:pt>
                <c:pt idx="154">
                  <c:v>0.765</c:v>
                </c:pt>
                <c:pt idx="155">
                  <c:v>0.77</c:v>
                </c:pt>
                <c:pt idx="156">
                  <c:v>0.775</c:v>
                </c:pt>
                <c:pt idx="157">
                  <c:v>0.78</c:v>
                </c:pt>
                <c:pt idx="158">
                  <c:v>0.785</c:v>
                </c:pt>
                <c:pt idx="159">
                  <c:v>0.79</c:v>
                </c:pt>
                <c:pt idx="160">
                  <c:v>0.795</c:v>
                </c:pt>
                <c:pt idx="161">
                  <c:v>0.8</c:v>
                </c:pt>
                <c:pt idx="162">
                  <c:v>0.805</c:v>
                </c:pt>
                <c:pt idx="163">
                  <c:v>0.81</c:v>
                </c:pt>
                <c:pt idx="164">
                  <c:v>0.815</c:v>
                </c:pt>
                <c:pt idx="165">
                  <c:v>0.82</c:v>
                </c:pt>
                <c:pt idx="166">
                  <c:v>0.825</c:v>
                </c:pt>
                <c:pt idx="167">
                  <c:v>0.83</c:v>
                </c:pt>
                <c:pt idx="168">
                  <c:v>0.835</c:v>
                </c:pt>
                <c:pt idx="169">
                  <c:v>0.84</c:v>
                </c:pt>
                <c:pt idx="170">
                  <c:v>0.845</c:v>
                </c:pt>
                <c:pt idx="171">
                  <c:v>0.85</c:v>
                </c:pt>
                <c:pt idx="172">
                  <c:v>0.855</c:v>
                </c:pt>
                <c:pt idx="173">
                  <c:v>0.86</c:v>
                </c:pt>
                <c:pt idx="174">
                  <c:v>0.865</c:v>
                </c:pt>
                <c:pt idx="175">
                  <c:v>0.87</c:v>
                </c:pt>
                <c:pt idx="176">
                  <c:v>0.875</c:v>
                </c:pt>
                <c:pt idx="177">
                  <c:v>0.88</c:v>
                </c:pt>
                <c:pt idx="178">
                  <c:v>0.885</c:v>
                </c:pt>
                <c:pt idx="179">
                  <c:v>0.89</c:v>
                </c:pt>
                <c:pt idx="180">
                  <c:v>0.895</c:v>
                </c:pt>
                <c:pt idx="181">
                  <c:v>0.9</c:v>
                </c:pt>
                <c:pt idx="182">
                  <c:v>0.905</c:v>
                </c:pt>
                <c:pt idx="183">
                  <c:v>0.91</c:v>
                </c:pt>
                <c:pt idx="184">
                  <c:v>0.915</c:v>
                </c:pt>
                <c:pt idx="185">
                  <c:v>0.92</c:v>
                </c:pt>
                <c:pt idx="186">
                  <c:v>0.925</c:v>
                </c:pt>
                <c:pt idx="187">
                  <c:v>0.93</c:v>
                </c:pt>
                <c:pt idx="188">
                  <c:v>0.935</c:v>
                </c:pt>
                <c:pt idx="189">
                  <c:v>0.94</c:v>
                </c:pt>
                <c:pt idx="190">
                  <c:v>0.945</c:v>
                </c:pt>
                <c:pt idx="191">
                  <c:v>0.95</c:v>
                </c:pt>
                <c:pt idx="192">
                  <c:v>0.955</c:v>
                </c:pt>
                <c:pt idx="193">
                  <c:v>0.96</c:v>
                </c:pt>
                <c:pt idx="194">
                  <c:v>0.965</c:v>
                </c:pt>
                <c:pt idx="195">
                  <c:v>0.97</c:v>
                </c:pt>
                <c:pt idx="196">
                  <c:v>0.975</c:v>
                </c:pt>
                <c:pt idx="197">
                  <c:v>0.98</c:v>
                </c:pt>
                <c:pt idx="198">
                  <c:v>0.985</c:v>
                </c:pt>
                <c:pt idx="199">
                  <c:v>0.99</c:v>
                </c:pt>
                <c:pt idx="200">
                  <c:v>0.995</c:v>
                </c:pt>
                <c:pt idx="201">
                  <c:v>1</c:v>
                </c:pt>
              </c:numCache>
            </c:numRef>
          </c:xVal>
          <c:yVal>
            <c:numRef>
              <c:f>ROC_data!$D$2:$D$203</c:f>
              <c:numCache>
                <c:formatCode>General</c:formatCode>
                <c:ptCount val="202"/>
                <c:pt idx="0">
                  <c:v>0</c:v>
                </c:pt>
                <c:pt idx="1">
                  <c:v>0.00308823529411765</c:v>
                </c:pt>
                <c:pt idx="2">
                  <c:v>0.0332352941176471</c:v>
                </c:pt>
                <c:pt idx="3">
                  <c:v>0.0548529411764706</c:v>
                </c:pt>
                <c:pt idx="4">
                  <c:v>0.0810294117647059</c:v>
                </c:pt>
                <c:pt idx="5">
                  <c:v>0.0966176470588235</c:v>
                </c:pt>
                <c:pt idx="6">
                  <c:v>0.109558823529412</c:v>
                </c:pt>
                <c:pt idx="7">
                  <c:v>0.115735294117647</c:v>
                </c:pt>
                <c:pt idx="8">
                  <c:v>0.127794117647059</c:v>
                </c:pt>
                <c:pt idx="9">
                  <c:v>0.138382352941177</c:v>
                </c:pt>
                <c:pt idx="10">
                  <c:v>0.151323529411765</c:v>
                </c:pt>
                <c:pt idx="11">
                  <c:v>0.162941176470588</c:v>
                </c:pt>
                <c:pt idx="12">
                  <c:v>0.171323529411765</c:v>
                </c:pt>
                <c:pt idx="13">
                  <c:v>0.181764705882353</c:v>
                </c:pt>
                <c:pt idx="14">
                  <c:v>0.194852941176471</c:v>
                </c:pt>
                <c:pt idx="15">
                  <c:v>0.203823529411765</c:v>
                </c:pt>
                <c:pt idx="16">
                  <c:v>0.213088235294118</c:v>
                </c:pt>
                <c:pt idx="17">
                  <c:v>0.219852941176471</c:v>
                </c:pt>
                <c:pt idx="18">
                  <c:v>0.230588235294118</c:v>
                </c:pt>
                <c:pt idx="19">
                  <c:v>0.239558823529412</c:v>
                </c:pt>
                <c:pt idx="20">
                  <c:v>0.250588235294118</c:v>
                </c:pt>
                <c:pt idx="21">
                  <c:v>0.263088235294118</c:v>
                </c:pt>
                <c:pt idx="22">
                  <c:v>0.268529411764706</c:v>
                </c:pt>
                <c:pt idx="23">
                  <c:v>0.277205882352941</c:v>
                </c:pt>
                <c:pt idx="24">
                  <c:v>0.285147058823529</c:v>
                </c:pt>
                <c:pt idx="25">
                  <c:v>0.293088235294118</c:v>
                </c:pt>
                <c:pt idx="26">
                  <c:v>0.300735294117647</c:v>
                </c:pt>
                <c:pt idx="27">
                  <c:v>0.306911764705882</c:v>
                </c:pt>
                <c:pt idx="28">
                  <c:v>0.317058823529412</c:v>
                </c:pt>
                <c:pt idx="29">
                  <c:v>0.324705882352941</c:v>
                </c:pt>
                <c:pt idx="30">
                  <c:v>0.329705882352941</c:v>
                </c:pt>
                <c:pt idx="31">
                  <c:v>0.335441176470588</c:v>
                </c:pt>
                <c:pt idx="32">
                  <c:v>0.341029411764706</c:v>
                </c:pt>
                <c:pt idx="33">
                  <c:v>0.347205882352941</c:v>
                </c:pt>
                <c:pt idx="34">
                  <c:v>0.356176470588235</c:v>
                </c:pt>
                <c:pt idx="35">
                  <c:v>0.360735294117647</c:v>
                </c:pt>
                <c:pt idx="36">
                  <c:v>0.369117647058824</c:v>
                </c:pt>
                <c:pt idx="37">
                  <c:v>0.376323529411765</c:v>
                </c:pt>
                <c:pt idx="38">
                  <c:v>0.380735294117647</c:v>
                </c:pt>
                <c:pt idx="39">
                  <c:v>0.388676470588235</c:v>
                </c:pt>
                <c:pt idx="40">
                  <c:v>0.398529411764706</c:v>
                </c:pt>
                <c:pt idx="41">
                  <c:v>0.410588235294118</c:v>
                </c:pt>
                <c:pt idx="42">
                  <c:v>0.415147058823529</c:v>
                </c:pt>
                <c:pt idx="43">
                  <c:v>0.421764705882353</c:v>
                </c:pt>
                <c:pt idx="44">
                  <c:v>0.4275</c:v>
                </c:pt>
                <c:pt idx="45">
                  <c:v>0.433382352941177</c:v>
                </c:pt>
                <c:pt idx="46">
                  <c:v>0.439852941176471</c:v>
                </c:pt>
                <c:pt idx="47">
                  <c:v>0.447647058823529</c:v>
                </c:pt>
                <c:pt idx="48">
                  <c:v>0.454411764705882</c:v>
                </c:pt>
                <c:pt idx="49">
                  <c:v>0.4625</c:v>
                </c:pt>
                <c:pt idx="50">
                  <c:v>0.467205882352941</c:v>
                </c:pt>
                <c:pt idx="51">
                  <c:v>0.474852941176471</c:v>
                </c:pt>
                <c:pt idx="52">
                  <c:v>0.48</c:v>
                </c:pt>
                <c:pt idx="53">
                  <c:v>0.484705882352941</c:v>
                </c:pt>
                <c:pt idx="54">
                  <c:v>0.492352941176471</c:v>
                </c:pt>
                <c:pt idx="55">
                  <c:v>0.502058823529412</c:v>
                </c:pt>
                <c:pt idx="56">
                  <c:v>0.506617647058824</c:v>
                </c:pt>
                <c:pt idx="57">
                  <c:v>0.510882352941177</c:v>
                </c:pt>
                <c:pt idx="58">
                  <c:v>0.516911764705882</c:v>
                </c:pt>
                <c:pt idx="59">
                  <c:v>0.524852941176471</c:v>
                </c:pt>
                <c:pt idx="60">
                  <c:v>0.530735294117647</c:v>
                </c:pt>
                <c:pt idx="61">
                  <c:v>0.538088235294118</c:v>
                </c:pt>
                <c:pt idx="62">
                  <c:v>0.543676470588235</c:v>
                </c:pt>
                <c:pt idx="63">
                  <c:v>0.548088235294118</c:v>
                </c:pt>
                <c:pt idx="64">
                  <c:v>0.5525</c:v>
                </c:pt>
                <c:pt idx="65">
                  <c:v>0.559705882352941</c:v>
                </c:pt>
                <c:pt idx="66">
                  <c:v>0.564852941176471</c:v>
                </c:pt>
                <c:pt idx="67">
                  <c:v>0.568970588235294</c:v>
                </c:pt>
                <c:pt idx="68">
                  <c:v>0.573529411764706</c:v>
                </c:pt>
                <c:pt idx="69">
                  <c:v>0.577794117647059</c:v>
                </c:pt>
                <c:pt idx="70">
                  <c:v>0.584117647058824</c:v>
                </c:pt>
                <c:pt idx="71">
                  <c:v>0.586764705882353</c:v>
                </c:pt>
                <c:pt idx="72">
                  <c:v>0.591323529411765</c:v>
                </c:pt>
                <c:pt idx="73">
                  <c:v>0.593676470588235</c:v>
                </c:pt>
                <c:pt idx="74">
                  <c:v>0.596911764705882</c:v>
                </c:pt>
                <c:pt idx="75">
                  <c:v>0.602647058823529</c:v>
                </c:pt>
                <c:pt idx="76">
                  <c:v>0.606176470588235</c:v>
                </c:pt>
                <c:pt idx="77">
                  <c:v>0.61</c:v>
                </c:pt>
                <c:pt idx="78">
                  <c:v>0.613382352941177</c:v>
                </c:pt>
                <c:pt idx="79">
                  <c:v>0.617647058823529</c:v>
                </c:pt>
                <c:pt idx="80">
                  <c:v>0.621764705882353</c:v>
                </c:pt>
                <c:pt idx="81">
                  <c:v>0.625588235294118</c:v>
                </c:pt>
                <c:pt idx="82">
                  <c:v>0.631176470588235</c:v>
                </c:pt>
                <c:pt idx="83">
                  <c:v>0.637352941176471</c:v>
                </c:pt>
                <c:pt idx="84">
                  <c:v>0.641029411764706</c:v>
                </c:pt>
                <c:pt idx="85">
                  <c:v>0.643529411764706</c:v>
                </c:pt>
                <c:pt idx="86">
                  <c:v>0.648529411764706</c:v>
                </c:pt>
                <c:pt idx="87">
                  <c:v>0.6525</c:v>
                </c:pt>
                <c:pt idx="88">
                  <c:v>0.657352941176471</c:v>
                </c:pt>
                <c:pt idx="89">
                  <c:v>0.6625</c:v>
                </c:pt>
                <c:pt idx="90">
                  <c:v>0.665441176470588</c:v>
                </c:pt>
                <c:pt idx="91">
                  <c:v>0.670294117647059</c:v>
                </c:pt>
                <c:pt idx="92">
                  <c:v>0.676470588235294</c:v>
                </c:pt>
                <c:pt idx="93">
                  <c:v>0.679705882352941</c:v>
                </c:pt>
                <c:pt idx="94">
                  <c:v>0.6825</c:v>
                </c:pt>
                <c:pt idx="95">
                  <c:v>0.686029411764706</c:v>
                </c:pt>
                <c:pt idx="96">
                  <c:v>0.69</c:v>
                </c:pt>
                <c:pt idx="97">
                  <c:v>0.693088235294118</c:v>
                </c:pt>
                <c:pt idx="98">
                  <c:v>0.696029411764706</c:v>
                </c:pt>
                <c:pt idx="99">
                  <c:v>0.700588235294118</c:v>
                </c:pt>
                <c:pt idx="100">
                  <c:v>0.703529411764706</c:v>
                </c:pt>
                <c:pt idx="101">
                  <c:v>0.707352941176471</c:v>
                </c:pt>
                <c:pt idx="102">
                  <c:v>0.711764705882353</c:v>
                </c:pt>
                <c:pt idx="103">
                  <c:v>0.714852941176471</c:v>
                </c:pt>
                <c:pt idx="104">
                  <c:v>0.719117647058824</c:v>
                </c:pt>
                <c:pt idx="105">
                  <c:v>0.722941176470588</c:v>
                </c:pt>
                <c:pt idx="106">
                  <c:v>0.726470588235294</c:v>
                </c:pt>
                <c:pt idx="107">
                  <c:v>0.732058823529412</c:v>
                </c:pt>
                <c:pt idx="108">
                  <c:v>0.735441176470588</c:v>
                </c:pt>
                <c:pt idx="109">
                  <c:v>0.740294117647059</c:v>
                </c:pt>
                <c:pt idx="110">
                  <c:v>0.743970588235294</c:v>
                </c:pt>
                <c:pt idx="111">
                  <c:v>0.746176470588235</c:v>
                </c:pt>
                <c:pt idx="112">
                  <c:v>0.748382352941177</c:v>
                </c:pt>
                <c:pt idx="113">
                  <c:v>0.751470588235294</c:v>
                </c:pt>
                <c:pt idx="114">
                  <c:v>0.754264705882353</c:v>
                </c:pt>
                <c:pt idx="115">
                  <c:v>0.756911764705882</c:v>
                </c:pt>
                <c:pt idx="116">
                  <c:v>0.761323529411765</c:v>
                </c:pt>
                <c:pt idx="117">
                  <c:v>0.766911764705882</c:v>
                </c:pt>
                <c:pt idx="118">
                  <c:v>0.769705882352941</c:v>
                </c:pt>
                <c:pt idx="119">
                  <c:v>0.77264705882353</c:v>
                </c:pt>
                <c:pt idx="120">
                  <c:v>0.776617647058824</c:v>
                </c:pt>
                <c:pt idx="121">
                  <c:v>0.779411764705882</c:v>
                </c:pt>
                <c:pt idx="122">
                  <c:v>0.782794117647059</c:v>
                </c:pt>
                <c:pt idx="123">
                  <c:v>0.785588235294118</c:v>
                </c:pt>
                <c:pt idx="124">
                  <c:v>0.791176470588235</c:v>
                </c:pt>
                <c:pt idx="125">
                  <c:v>0.795882352941177</c:v>
                </c:pt>
                <c:pt idx="126">
                  <c:v>0.798970588235294</c:v>
                </c:pt>
                <c:pt idx="127">
                  <c:v>0.802352941176471</c:v>
                </c:pt>
                <c:pt idx="128">
                  <c:v>0.805441176470588</c:v>
                </c:pt>
                <c:pt idx="129">
                  <c:v>0.807647058823529</c:v>
                </c:pt>
                <c:pt idx="130">
                  <c:v>0.810441176470588</c:v>
                </c:pt>
                <c:pt idx="131">
                  <c:v>0.812941176470588</c:v>
                </c:pt>
                <c:pt idx="132">
                  <c:v>0.817058823529412</c:v>
                </c:pt>
                <c:pt idx="133">
                  <c:v>0.821911764705882</c:v>
                </c:pt>
                <c:pt idx="134">
                  <c:v>0.826029411764706</c:v>
                </c:pt>
                <c:pt idx="135">
                  <c:v>0.829852941176471</c:v>
                </c:pt>
                <c:pt idx="136">
                  <c:v>0.833235294117647</c:v>
                </c:pt>
                <c:pt idx="137">
                  <c:v>0.836323529411765</c:v>
                </c:pt>
                <c:pt idx="138">
                  <c:v>0.838088235294118</c:v>
                </c:pt>
                <c:pt idx="139">
                  <c:v>0.840735294117647</c:v>
                </c:pt>
                <c:pt idx="140">
                  <c:v>0.845147058823529</c:v>
                </c:pt>
                <c:pt idx="141">
                  <c:v>0.848529411764706</c:v>
                </c:pt>
                <c:pt idx="142">
                  <c:v>0.851323529411765</c:v>
                </c:pt>
                <c:pt idx="143">
                  <c:v>0.855735294117647</c:v>
                </c:pt>
                <c:pt idx="144">
                  <c:v>0.858676470588235</c:v>
                </c:pt>
                <c:pt idx="145">
                  <c:v>0.863088235294118</c:v>
                </c:pt>
                <c:pt idx="146">
                  <c:v>0.864264705882353</c:v>
                </c:pt>
                <c:pt idx="147">
                  <c:v>0.870294117647059</c:v>
                </c:pt>
                <c:pt idx="148">
                  <c:v>0.871617647058824</c:v>
                </c:pt>
                <c:pt idx="149">
                  <c:v>0.874705882352941</c:v>
                </c:pt>
                <c:pt idx="150">
                  <c:v>0.876764705882353</c:v>
                </c:pt>
                <c:pt idx="151">
                  <c:v>0.881029411764706</c:v>
                </c:pt>
                <c:pt idx="152">
                  <c:v>0.884411764705882</c:v>
                </c:pt>
                <c:pt idx="153">
                  <c:v>0.886470588235294</c:v>
                </c:pt>
                <c:pt idx="154">
                  <c:v>0.890441176470588</c:v>
                </c:pt>
                <c:pt idx="155">
                  <c:v>0.893235294117647</c:v>
                </c:pt>
                <c:pt idx="156">
                  <c:v>0.896470588235294</c:v>
                </c:pt>
                <c:pt idx="157">
                  <c:v>0.899117647058824</c:v>
                </c:pt>
                <c:pt idx="158">
                  <c:v>0.904558823529412</c:v>
                </c:pt>
                <c:pt idx="159">
                  <c:v>0.908088235294118</c:v>
                </c:pt>
                <c:pt idx="160">
                  <c:v>0.911764705882353</c:v>
                </c:pt>
                <c:pt idx="161">
                  <c:v>0.914411764705882</c:v>
                </c:pt>
                <c:pt idx="162">
                  <c:v>0.916617647058824</c:v>
                </c:pt>
                <c:pt idx="163">
                  <c:v>0.920441176470588</c:v>
                </c:pt>
                <c:pt idx="164">
                  <c:v>0.923235294117647</c:v>
                </c:pt>
                <c:pt idx="165">
                  <c:v>0.925882352941177</c:v>
                </c:pt>
                <c:pt idx="166">
                  <c:v>0.928382352941176</c:v>
                </c:pt>
                <c:pt idx="167">
                  <c:v>0.931029411764706</c:v>
                </c:pt>
                <c:pt idx="168">
                  <c:v>0.934705882352941</c:v>
                </c:pt>
                <c:pt idx="169">
                  <c:v>0.936323529411765</c:v>
                </c:pt>
                <c:pt idx="170">
                  <c:v>0.937941176470588</c:v>
                </c:pt>
                <c:pt idx="171">
                  <c:v>0.941911764705882</c:v>
                </c:pt>
                <c:pt idx="172">
                  <c:v>0.944705882352941</c:v>
                </c:pt>
                <c:pt idx="173">
                  <c:v>0.947205882352941</c:v>
                </c:pt>
                <c:pt idx="174">
                  <c:v>0.950588235294118</c:v>
                </c:pt>
                <c:pt idx="175">
                  <c:v>0.954117647058824</c:v>
                </c:pt>
                <c:pt idx="176">
                  <c:v>0.956470588235294</c:v>
                </c:pt>
                <c:pt idx="177">
                  <c:v>0.958823529411765</c:v>
                </c:pt>
                <c:pt idx="178">
                  <c:v>0.960294117647059</c:v>
                </c:pt>
                <c:pt idx="179">
                  <c:v>0.962941176470588</c:v>
                </c:pt>
                <c:pt idx="180">
                  <c:v>0.967647058823529</c:v>
                </c:pt>
                <c:pt idx="181">
                  <c:v>0.970588235294118</c:v>
                </c:pt>
                <c:pt idx="182">
                  <c:v>0.972205882352941</c:v>
                </c:pt>
                <c:pt idx="183">
                  <c:v>0.974411764705882</c:v>
                </c:pt>
                <c:pt idx="184">
                  <c:v>0.976323529411765</c:v>
                </c:pt>
                <c:pt idx="185">
                  <c:v>0.978676470588235</c:v>
                </c:pt>
                <c:pt idx="186">
                  <c:v>0.980147058823529</c:v>
                </c:pt>
                <c:pt idx="187">
                  <c:v>0.981764705882353</c:v>
                </c:pt>
                <c:pt idx="188">
                  <c:v>0.982352941176471</c:v>
                </c:pt>
                <c:pt idx="189">
                  <c:v>0.984558823529412</c:v>
                </c:pt>
                <c:pt idx="190">
                  <c:v>0.986764705882353</c:v>
                </c:pt>
                <c:pt idx="191">
                  <c:v>0.988676470588235</c:v>
                </c:pt>
                <c:pt idx="192">
                  <c:v>0.990147058823529</c:v>
                </c:pt>
                <c:pt idx="193">
                  <c:v>0.992205882352941</c:v>
                </c:pt>
                <c:pt idx="194">
                  <c:v>0.994705882352941</c:v>
                </c:pt>
                <c:pt idx="195">
                  <c:v>0.997058823529412</c:v>
                </c:pt>
                <c:pt idx="196">
                  <c:v>0.998088235294118</c:v>
                </c:pt>
                <c:pt idx="197">
                  <c:v>0.998529411764706</c:v>
                </c:pt>
                <c:pt idx="198">
                  <c:v>0.998970588235294</c:v>
                </c:pt>
                <c:pt idx="199">
                  <c:v>0.999558823529412</c:v>
                </c:pt>
                <c:pt idx="200">
                  <c:v>0.999705882352941</c:v>
                </c:pt>
                <c:pt idx="201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Fig3_CelebDF!$G$21</c:f>
              <c:strCache>
                <c:ptCount val="1"/>
                <c:pt idx="0">
                  <c:v>Random (0.500)</c:v>
                </c:pt>
              </c:strCache>
            </c:strRef>
          </c:tx>
          <c:spPr>
            <a:solidFill>
              <a:srgbClr val="808080"/>
            </a:solidFill>
            <a:ln w="1584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84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ROC_data!$U$2:$U$3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ROC_data!$V$2:$V$3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</c:ser>
        <c:axId val="47652224"/>
        <c:axId val="89923756"/>
      </c:scatterChart>
      <c:valAx>
        <c:axId val="47652224"/>
        <c:scaling>
          <c:orientation val="minMax"/>
          <c:max val="1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404040"/>
                    </a:solidFill>
                    <a:uFillTx/>
                    <a:latin typeface="Calibri"/>
                  </a:rPr>
                  <a:t>False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89923756"/>
        <c:crosses val="autoZero"/>
        <c:crossBetween val="midCat"/>
        <c:majorUnit val="0.2"/>
      </c:valAx>
      <c:valAx>
        <c:axId val="89923756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404040"/>
                    </a:solidFill>
                    <a:uFillTx/>
                    <a:latin typeface="Calibri"/>
                  </a:rPr>
                  <a:t>True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47652224"/>
        <c:crosses val="autoZero"/>
        <c:crossBetween val="midCat"/>
        <c:majorUnit val="0.2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6480">
          <a:solidFill>
            <a:srgbClr val="BFBFBF"/>
          </a:solidFill>
          <a:round/>
        </a:ln>
      </c:spPr>
      <c:txPr>
        <a:bodyPr/>
        <a:lstStyle/>
        <a:p>
          <a:pPr>
            <a:defRPr sz="900" b="0" u="none" strike="noStrike">
              <a:solidFill>
                <a:srgbClr val="40404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100" b="1" u="none" strike="noStrike">
                <a:solidFill>
                  <a:srgbClr val="262626"/>
                </a:solidFill>
                <a:uFillTx/>
                <a:latin typeface="Calibri"/>
              </a:rPr>
              <a:t>MFCC + SVM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900" b="0" u="none" strike="noStrike">
                <a:solidFill>
                  <a:srgbClr val="262626"/>
                </a:solidFill>
                <a:uFillTx/>
                <a:latin typeface="Calibri"/>
              </a:rPr>
              <a:t>(ASVspoof 2019 LA)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Fig6_ASVspoof!$G$20</c:f>
              <c:strCache>
                <c:ptCount val="1"/>
                <c:pt idx="0">
                  <c:v>ASVspoof 2019 LA (AUC = 0.919)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ROC_data!$E$2:$E$203</c:f>
              <c:numCache>
                <c:formatCode>General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0.005</c:v>
                </c:pt>
                <c:pt idx="3">
                  <c:v>0.01</c:v>
                </c:pt>
                <c:pt idx="4">
                  <c:v>0.015</c:v>
                </c:pt>
                <c:pt idx="5">
                  <c:v>0.02</c:v>
                </c:pt>
                <c:pt idx="6">
                  <c:v>0.025</c:v>
                </c:pt>
                <c:pt idx="7">
                  <c:v>0.03</c:v>
                </c:pt>
                <c:pt idx="8">
                  <c:v>0.035</c:v>
                </c:pt>
                <c:pt idx="9">
                  <c:v>0.04</c:v>
                </c:pt>
                <c:pt idx="10">
                  <c:v>0.045</c:v>
                </c:pt>
                <c:pt idx="11">
                  <c:v>0.05</c:v>
                </c:pt>
                <c:pt idx="12">
                  <c:v>0.055</c:v>
                </c:pt>
                <c:pt idx="13">
                  <c:v>0.06</c:v>
                </c:pt>
                <c:pt idx="14">
                  <c:v>0.065</c:v>
                </c:pt>
                <c:pt idx="15">
                  <c:v>0.07</c:v>
                </c:pt>
                <c:pt idx="16">
                  <c:v>0.075</c:v>
                </c:pt>
                <c:pt idx="17">
                  <c:v>0.08</c:v>
                </c:pt>
                <c:pt idx="18">
                  <c:v>0.085</c:v>
                </c:pt>
                <c:pt idx="19">
                  <c:v>0.09</c:v>
                </c:pt>
                <c:pt idx="20">
                  <c:v>0.095</c:v>
                </c:pt>
                <c:pt idx="21">
                  <c:v>0.1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</c:v>
                </c:pt>
                <c:pt idx="29">
                  <c:v>0.14</c:v>
                </c:pt>
                <c:pt idx="30">
                  <c:v>0.145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</c:v>
                </c:pt>
                <c:pt idx="35">
                  <c:v>0.17</c:v>
                </c:pt>
                <c:pt idx="36">
                  <c:v>0.175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0.195</c:v>
                </c:pt>
                <c:pt idx="41">
                  <c:v>0.2</c:v>
                </c:pt>
                <c:pt idx="42">
                  <c:v>0.205</c:v>
                </c:pt>
                <c:pt idx="43">
                  <c:v>0.21</c:v>
                </c:pt>
                <c:pt idx="44">
                  <c:v>0.215</c:v>
                </c:pt>
                <c:pt idx="45">
                  <c:v>0.22</c:v>
                </c:pt>
                <c:pt idx="46">
                  <c:v>0.225</c:v>
                </c:pt>
                <c:pt idx="47">
                  <c:v>0.23</c:v>
                </c:pt>
                <c:pt idx="48">
                  <c:v>0.235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</c:v>
                </c:pt>
                <c:pt idx="55">
                  <c:v>0.27</c:v>
                </c:pt>
                <c:pt idx="56">
                  <c:v>0.275</c:v>
                </c:pt>
                <c:pt idx="57">
                  <c:v>0.28</c:v>
                </c:pt>
                <c:pt idx="58">
                  <c:v>0.285</c:v>
                </c:pt>
                <c:pt idx="59">
                  <c:v>0.29</c:v>
                </c:pt>
                <c:pt idx="60">
                  <c:v>0.295</c:v>
                </c:pt>
                <c:pt idx="61">
                  <c:v>0.3</c:v>
                </c:pt>
                <c:pt idx="62">
                  <c:v>0.305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</c:v>
                </c:pt>
                <c:pt idx="67">
                  <c:v>0.33</c:v>
                </c:pt>
                <c:pt idx="68">
                  <c:v>0.335</c:v>
                </c:pt>
                <c:pt idx="69">
                  <c:v>0.34</c:v>
                </c:pt>
                <c:pt idx="70">
                  <c:v>0.345</c:v>
                </c:pt>
                <c:pt idx="71">
                  <c:v>0.35</c:v>
                </c:pt>
                <c:pt idx="72">
                  <c:v>0.355</c:v>
                </c:pt>
                <c:pt idx="73">
                  <c:v>0.36</c:v>
                </c:pt>
                <c:pt idx="74">
                  <c:v>0.365</c:v>
                </c:pt>
                <c:pt idx="75">
                  <c:v>0.37</c:v>
                </c:pt>
                <c:pt idx="76">
                  <c:v>0.375</c:v>
                </c:pt>
                <c:pt idx="77">
                  <c:v>0.38</c:v>
                </c:pt>
                <c:pt idx="78">
                  <c:v>0.385</c:v>
                </c:pt>
                <c:pt idx="79">
                  <c:v>0.39</c:v>
                </c:pt>
                <c:pt idx="80">
                  <c:v>0.395</c:v>
                </c:pt>
                <c:pt idx="81">
                  <c:v>0.4</c:v>
                </c:pt>
                <c:pt idx="82">
                  <c:v>0.405</c:v>
                </c:pt>
                <c:pt idx="83">
                  <c:v>0.41</c:v>
                </c:pt>
                <c:pt idx="84">
                  <c:v>0.415</c:v>
                </c:pt>
                <c:pt idx="85">
                  <c:v>0.42</c:v>
                </c:pt>
                <c:pt idx="86">
                  <c:v>0.425</c:v>
                </c:pt>
                <c:pt idx="87">
                  <c:v>0.43</c:v>
                </c:pt>
                <c:pt idx="88">
                  <c:v>0.435</c:v>
                </c:pt>
                <c:pt idx="89">
                  <c:v>0.44</c:v>
                </c:pt>
                <c:pt idx="90">
                  <c:v>0.445</c:v>
                </c:pt>
                <c:pt idx="91">
                  <c:v>0.45</c:v>
                </c:pt>
                <c:pt idx="92">
                  <c:v>0.455</c:v>
                </c:pt>
                <c:pt idx="93">
                  <c:v>0.46</c:v>
                </c:pt>
                <c:pt idx="94">
                  <c:v>0.465</c:v>
                </c:pt>
                <c:pt idx="95">
                  <c:v>0.47</c:v>
                </c:pt>
                <c:pt idx="96">
                  <c:v>0.475</c:v>
                </c:pt>
                <c:pt idx="97">
                  <c:v>0.48</c:v>
                </c:pt>
                <c:pt idx="98">
                  <c:v>0.485</c:v>
                </c:pt>
                <c:pt idx="99">
                  <c:v>0.49</c:v>
                </c:pt>
                <c:pt idx="100">
                  <c:v>0.495</c:v>
                </c:pt>
                <c:pt idx="101">
                  <c:v>0.5</c:v>
                </c:pt>
                <c:pt idx="102">
                  <c:v>0.505</c:v>
                </c:pt>
                <c:pt idx="103">
                  <c:v>0.51</c:v>
                </c:pt>
                <c:pt idx="104">
                  <c:v>0.515</c:v>
                </c:pt>
                <c:pt idx="105">
                  <c:v>0.52</c:v>
                </c:pt>
                <c:pt idx="106">
                  <c:v>0.525</c:v>
                </c:pt>
                <c:pt idx="107">
                  <c:v>0.53</c:v>
                </c:pt>
                <c:pt idx="108">
                  <c:v>0.535</c:v>
                </c:pt>
                <c:pt idx="109">
                  <c:v>0.54</c:v>
                </c:pt>
                <c:pt idx="110">
                  <c:v>0.545</c:v>
                </c:pt>
                <c:pt idx="111">
                  <c:v>0.55</c:v>
                </c:pt>
                <c:pt idx="112">
                  <c:v>0.555</c:v>
                </c:pt>
                <c:pt idx="113">
                  <c:v>0.56</c:v>
                </c:pt>
                <c:pt idx="114">
                  <c:v>0.565</c:v>
                </c:pt>
                <c:pt idx="115">
                  <c:v>0.57</c:v>
                </c:pt>
                <c:pt idx="116">
                  <c:v>0.575</c:v>
                </c:pt>
                <c:pt idx="117">
                  <c:v>0.58</c:v>
                </c:pt>
                <c:pt idx="118">
                  <c:v>0.585</c:v>
                </c:pt>
                <c:pt idx="119">
                  <c:v>0.59</c:v>
                </c:pt>
                <c:pt idx="120">
                  <c:v>0.595</c:v>
                </c:pt>
                <c:pt idx="121">
                  <c:v>0.6</c:v>
                </c:pt>
                <c:pt idx="122">
                  <c:v>0.605</c:v>
                </c:pt>
                <c:pt idx="123">
                  <c:v>0.61</c:v>
                </c:pt>
                <c:pt idx="124">
                  <c:v>0.615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0.635</c:v>
                </c:pt>
                <c:pt idx="129">
                  <c:v>0.64</c:v>
                </c:pt>
                <c:pt idx="130">
                  <c:v>0.645</c:v>
                </c:pt>
                <c:pt idx="131">
                  <c:v>0.65</c:v>
                </c:pt>
                <c:pt idx="132">
                  <c:v>0.655</c:v>
                </c:pt>
                <c:pt idx="133">
                  <c:v>0.66</c:v>
                </c:pt>
                <c:pt idx="134">
                  <c:v>0.665</c:v>
                </c:pt>
                <c:pt idx="135">
                  <c:v>0.67</c:v>
                </c:pt>
                <c:pt idx="136">
                  <c:v>0.675</c:v>
                </c:pt>
                <c:pt idx="137">
                  <c:v>0.68</c:v>
                </c:pt>
                <c:pt idx="138">
                  <c:v>0.685</c:v>
                </c:pt>
                <c:pt idx="139">
                  <c:v>0.69</c:v>
                </c:pt>
                <c:pt idx="140">
                  <c:v>0.695</c:v>
                </c:pt>
                <c:pt idx="141">
                  <c:v>0.7</c:v>
                </c:pt>
                <c:pt idx="142">
                  <c:v>0.705</c:v>
                </c:pt>
                <c:pt idx="143">
                  <c:v>0.71</c:v>
                </c:pt>
                <c:pt idx="144">
                  <c:v>0.715</c:v>
                </c:pt>
                <c:pt idx="145">
                  <c:v>0.72</c:v>
                </c:pt>
                <c:pt idx="146">
                  <c:v>0.725</c:v>
                </c:pt>
                <c:pt idx="147">
                  <c:v>0.73</c:v>
                </c:pt>
                <c:pt idx="148">
                  <c:v>0.735</c:v>
                </c:pt>
                <c:pt idx="149">
                  <c:v>0.74</c:v>
                </c:pt>
                <c:pt idx="150">
                  <c:v>0.745</c:v>
                </c:pt>
                <c:pt idx="151">
                  <c:v>0.75</c:v>
                </c:pt>
                <c:pt idx="152">
                  <c:v>0.755</c:v>
                </c:pt>
                <c:pt idx="153">
                  <c:v>0.76</c:v>
                </c:pt>
                <c:pt idx="154">
                  <c:v>0.765</c:v>
                </c:pt>
                <c:pt idx="155">
                  <c:v>0.77</c:v>
                </c:pt>
                <c:pt idx="156">
                  <c:v>0.775</c:v>
                </c:pt>
                <c:pt idx="157">
                  <c:v>0.78</c:v>
                </c:pt>
                <c:pt idx="158">
                  <c:v>0.785</c:v>
                </c:pt>
                <c:pt idx="159">
                  <c:v>0.79</c:v>
                </c:pt>
                <c:pt idx="160">
                  <c:v>0.795</c:v>
                </c:pt>
                <c:pt idx="161">
                  <c:v>0.8</c:v>
                </c:pt>
                <c:pt idx="162">
                  <c:v>0.805</c:v>
                </c:pt>
                <c:pt idx="163">
                  <c:v>0.81</c:v>
                </c:pt>
                <c:pt idx="164">
                  <c:v>0.815</c:v>
                </c:pt>
                <c:pt idx="165">
                  <c:v>0.82</c:v>
                </c:pt>
                <c:pt idx="166">
                  <c:v>0.825</c:v>
                </c:pt>
                <c:pt idx="167">
                  <c:v>0.83</c:v>
                </c:pt>
                <c:pt idx="168">
                  <c:v>0.835</c:v>
                </c:pt>
                <c:pt idx="169">
                  <c:v>0.84</c:v>
                </c:pt>
                <c:pt idx="170">
                  <c:v>0.845</c:v>
                </c:pt>
                <c:pt idx="171">
                  <c:v>0.85</c:v>
                </c:pt>
                <c:pt idx="172">
                  <c:v>0.855</c:v>
                </c:pt>
                <c:pt idx="173">
                  <c:v>0.86</c:v>
                </c:pt>
                <c:pt idx="174">
                  <c:v>0.865</c:v>
                </c:pt>
                <c:pt idx="175">
                  <c:v>0.87</c:v>
                </c:pt>
                <c:pt idx="176">
                  <c:v>0.875</c:v>
                </c:pt>
                <c:pt idx="177">
                  <c:v>0.88</c:v>
                </c:pt>
                <c:pt idx="178">
                  <c:v>0.885</c:v>
                </c:pt>
                <c:pt idx="179">
                  <c:v>0.89</c:v>
                </c:pt>
                <c:pt idx="180">
                  <c:v>0.895</c:v>
                </c:pt>
                <c:pt idx="181">
                  <c:v>0.9</c:v>
                </c:pt>
                <c:pt idx="182">
                  <c:v>0.905</c:v>
                </c:pt>
                <c:pt idx="183">
                  <c:v>0.91</c:v>
                </c:pt>
                <c:pt idx="184">
                  <c:v>0.915</c:v>
                </c:pt>
                <c:pt idx="185">
                  <c:v>0.92</c:v>
                </c:pt>
                <c:pt idx="186">
                  <c:v>0.925</c:v>
                </c:pt>
                <c:pt idx="187">
                  <c:v>0.93</c:v>
                </c:pt>
                <c:pt idx="188">
                  <c:v>0.935</c:v>
                </c:pt>
                <c:pt idx="189">
                  <c:v>0.94</c:v>
                </c:pt>
                <c:pt idx="190">
                  <c:v>0.945</c:v>
                </c:pt>
                <c:pt idx="191">
                  <c:v>0.95</c:v>
                </c:pt>
                <c:pt idx="192">
                  <c:v>0.955</c:v>
                </c:pt>
                <c:pt idx="193">
                  <c:v>0.96</c:v>
                </c:pt>
                <c:pt idx="194">
                  <c:v>0.965</c:v>
                </c:pt>
                <c:pt idx="195">
                  <c:v>0.97</c:v>
                </c:pt>
                <c:pt idx="196">
                  <c:v>0.975</c:v>
                </c:pt>
                <c:pt idx="197">
                  <c:v>0.98</c:v>
                </c:pt>
                <c:pt idx="198">
                  <c:v>0.985</c:v>
                </c:pt>
                <c:pt idx="199">
                  <c:v>0.99</c:v>
                </c:pt>
                <c:pt idx="200">
                  <c:v>0.995</c:v>
                </c:pt>
                <c:pt idx="201">
                  <c:v>1</c:v>
                </c:pt>
              </c:numCache>
            </c:numRef>
          </c:xVal>
          <c:yVal>
            <c:numRef>
              <c:f>ROC_data!$F$2:$F$203</c:f>
              <c:numCache>
                <c:formatCode>General</c:formatCode>
                <c:ptCount val="202"/>
                <c:pt idx="0">
                  <c:v>0</c:v>
                </c:pt>
                <c:pt idx="1">
                  <c:v>0.173585673585674</c:v>
                </c:pt>
                <c:pt idx="2">
                  <c:v>0.434676434676435</c:v>
                </c:pt>
                <c:pt idx="3">
                  <c:v>0.493628878244263</c:v>
                </c:pt>
                <c:pt idx="4">
                  <c:v>0.55265959112113</c:v>
                </c:pt>
                <c:pt idx="5">
                  <c:v>0.586675432829279</c:v>
                </c:pt>
                <c:pt idx="6">
                  <c:v>0.616010769856924</c:v>
                </c:pt>
                <c:pt idx="7">
                  <c:v>0.634451019066404</c:v>
                </c:pt>
                <c:pt idx="8">
                  <c:v>0.652515575592499</c:v>
                </c:pt>
                <c:pt idx="9">
                  <c:v>0.668059860367553</c:v>
                </c:pt>
                <c:pt idx="10">
                  <c:v>0.67839140916064</c:v>
                </c:pt>
                <c:pt idx="11">
                  <c:v>0.687768072383457</c:v>
                </c:pt>
                <c:pt idx="12">
                  <c:v>0.701183431952663</c:v>
                </c:pt>
                <c:pt idx="13">
                  <c:v>0.711828057981904</c:v>
                </c:pt>
                <c:pt idx="14">
                  <c:v>0.721361259822798</c:v>
                </c:pt>
                <c:pt idx="15">
                  <c:v>0.728358536050844</c:v>
                </c:pt>
                <c:pt idx="16">
                  <c:v>0.740114586268432</c:v>
                </c:pt>
                <c:pt idx="17">
                  <c:v>0.747252747252747</c:v>
                </c:pt>
                <c:pt idx="18">
                  <c:v>0.753936946244639</c:v>
                </c:pt>
                <c:pt idx="19">
                  <c:v>0.760026298487837</c:v>
                </c:pt>
                <c:pt idx="20">
                  <c:v>0.766616574308882</c:v>
                </c:pt>
                <c:pt idx="21">
                  <c:v>0.771563194640118</c:v>
                </c:pt>
                <c:pt idx="22">
                  <c:v>0.7766037381422</c:v>
                </c:pt>
                <c:pt idx="23">
                  <c:v>0.782912244450706</c:v>
                </c:pt>
                <c:pt idx="24">
                  <c:v>0.788375442221596</c:v>
                </c:pt>
                <c:pt idx="25">
                  <c:v>0.793353370276447</c:v>
                </c:pt>
                <c:pt idx="26">
                  <c:v>0.798425221502145</c:v>
                </c:pt>
                <c:pt idx="27">
                  <c:v>0.803199649353496</c:v>
                </c:pt>
                <c:pt idx="28">
                  <c:v>0.807817538586769</c:v>
                </c:pt>
                <c:pt idx="29">
                  <c:v>0.812325850787389</c:v>
                </c:pt>
                <c:pt idx="30">
                  <c:v>0.816067123759432</c:v>
                </c:pt>
                <c:pt idx="31">
                  <c:v>0.820090166244012</c:v>
                </c:pt>
                <c:pt idx="32">
                  <c:v>0.825115055884287</c:v>
                </c:pt>
                <c:pt idx="33">
                  <c:v>0.829732945117561</c:v>
                </c:pt>
                <c:pt idx="34">
                  <c:v>0.834209949594565</c:v>
                </c:pt>
                <c:pt idx="35">
                  <c:v>0.838186030493723</c:v>
                </c:pt>
                <c:pt idx="36">
                  <c:v>0.841723803262265</c:v>
                </c:pt>
                <c:pt idx="37">
                  <c:v>0.845903384364923</c:v>
                </c:pt>
                <c:pt idx="38">
                  <c:v>0.849550734166119</c:v>
                </c:pt>
                <c:pt idx="39">
                  <c:v>0.853010237625622</c:v>
                </c:pt>
                <c:pt idx="40">
                  <c:v>0.856657587426818</c:v>
                </c:pt>
                <c:pt idx="41">
                  <c:v>0.859553551861244</c:v>
                </c:pt>
                <c:pt idx="42">
                  <c:v>0.862183400644939</c:v>
                </c:pt>
                <c:pt idx="43">
                  <c:v>0.864875864875865</c:v>
                </c:pt>
                <c:pt idx="44">
                  <c:v>0.868288406749945</c:v>
                </c:pt>
                <c:pt idx="45">
                  <c:v>0.870933909395448</c:v>
                </c:pt>
                <c:pt idx="46">
                  <c:v>0.874017720171566</c:v>
                </c:pt>
                <c:pt idx="47">
                  <c:v>0.876350145580915</c:v>
                </c:pt>
                <c:pt idx="48">
                  <c:v>0.878948686640994</c:v>
                </c:pt>
                <c:pt idx="49">
                  <c:v>0.881406342944805</c:v>
                </c:pt>
                <c:pt idx="50">
                  <c:v>0.883832691524999</c:v>
                </c:pt>
                <c:pt idx="51">
                  <c:v>0.885664193356501</c:v>
                </c:pt>
                <c:pt idx="52">
                  <c:v>0.888904542750697</c:v>
                </c:pt>
                <c:pt idx="53">
                  <c:v>0.890814313891237</c:v>
                </c:pt>
                <c:pt idx="54">
                  <c:v>0.893037162267932</c:v>
                </c:pt>
                <c:pt idx="55">
                  <c:v>0.895275664506434</c:v>
                </c:pt>
                <c:pt idx="56">
                  <c:v>0.897060204752513</c:v>
                </c:pt>
                <c:pt idx="57">
                  <c:v>0.898766475689553</c:v>
                </c:pt>
                <c:pt idx="58">
                  <c:v>0.901067593375286</c:v>
                </c:pt>
                <c:pt idx="59">
                  <c:v>0.903274787890173</c:v>
                </c:pt>
                <c:pt idx="60">
                  <c:v>0.905309789925175</c:v>
                </c:pt>
                <c:pt idx="61">
                  <c:v>0.90793963870887</c:v>
                </c:pt>
                <c:pt idx="62">
                  <c:v>0.910694718387026</c:v>
                </c:pt>
                <c:pt idx="63">
                  <c:v>0.912573181803951</c:v>
                </c:pt>
                <c:pt idx="64">
                  <c:v>0.91421683729376</c:v>
                </c:pt>
                <c:pt idx="65">
                  <c:v>0.916110954572493</c:v>
                </c:pt>
                <c:pt idx="66">
                  <c:v>0.917801571647726</c:v>
                </c:pt>
                <c:pt idx="67">
                  <c:v>0.91961741961742</c:v>
                </c:pt>
                <c:pt idx="68">
                  <c:v>0.921088882627344</c:v>
                </c:pt>
                <c:pt idx="69">
                  <c:v>0.922763845840769</c:v>
                </c:pt>
                <c:pt idx="70">
                  <c:v>0.924141385679847</c:v>
                </c:pt>
                <c:pt idx="71">
                  <c:v>0.925378040762656</c:v>
                </c:pt>
                <c:pt idx="72">
                  <c:v>0.926692965154504</c:v>
                </c:pt>
                <c:pt idx="73">
                  <c:v>0.928023543408159</c:v>
                </c:pt>
                <c:pt idx="74">
                  <c:v>0.929495006418083</c:v>
                </c:pt>
                <c:pt idx="75">
                  <c:v>0.931389123696816</c:v>
                </c:pt>
                <c:pt idx="76">
                  <c:v>0.932829278983125</c:v>
                </c:pt>
                <c:pt idx="77">
                  <c:v>0.934347703578473</c:v>
                </c:pt>
                <c:pt idx="78">
                  <c:v>0.935866128173821</c:v>
                </c:pt>
                <c:pt idx="79">
                  <c:v>0.937134090980245</c:v>
                </c:pt>
                <c:pt idx="80">
                  <c:v>0.938417707648477</c:v>
                </c:pt>
                <c:pt idx="81">
                  <c:v>0.939795247487555</c:v>
                </c:pt>
                <c:pt idx="82">
                  <c:v>0.941016248708556</c:v>
                </c:pt>
                <c:pt idx="83">
                  <c:v>0.942315519238596</c:v>
                </c:pt>
                <c:pt idx="84">
                  <c:v>0.943990482452021</c:v>
                </c:pt>
                <c:pt idx="85">
                  <c:v>0.94543063773833</c:v>
                </c:pt>
                <c:pt idx="86">
                  <c:v>0.946542061926677</c:v>
                </c:pt>
                <c:pt idx="87">
                  <c:v>0.947700447700448</c:v>
                </c:pt>
                <c:pt idx="88">
                  <c:v>0.949203218433988</c:v>
                </c:pt>
                <c:pt idx="89">
                  <c:v>0.950361604207758</c:v>
                </c:pt>
                <c:pt idx="90">
                  <c:v>0.951300835916221</c:v>
                </c:pt>
                <c:pt idx="91">
                  <c:v>0.95253749099903</c:v>
                </c:pt>
                <c:pt idx="92">
                  <c:v>0.9536958767728</c:v>
                </c:pt>
                <c:pt idx="93">
                  <c:v>0.95485426254657</c:v>
                </c:pt>
                <c:pt idx="94">
                  <c:v>0.955934379011302</c:v>
                </c:pt>
                <c:pt idx="95">
                  <c:v>0.956779687548918</c:v>
                </c:pt>
                <c:pt idx="96">
                  <c:v>0.958016342631727</c:v>
                </c:pt>
                <c:pt idx="97">
                  <c:v>0.959065151372844</c:v>
                </c:pt>
                <c:pt idx="98">
                  <c:v>0.960489652797345</c:v>
                </c:pt>
                <c:pt idx="99">
                  <c:v>0.961601076985692</c:v>
                </c:pt>
                <c:pt idx="100">
                  <c:v>0.962493347108732</c:v>
                </c:pt>
                <c:pt idx="101">
                  <c:v>0.963761309915156</c:v>
                </c:pt>
                <c:pt idx="102">
                  <c:v>0.964700541623619</c:v>
                </c:pt>
                <c:pt idx="103">
                  <c:v>0.965311042234119</c:v>
                </c:pt>
                <c:pt idx="104">
                  <c:v>0.96592154284462</c:v>
                </c:pt>
                <c:pt idx="105">
                  <c:v>0.966719889796813</c:v>
                </c:pt>
                <c:pt idx="106">
                  <c:v>0.967674775367083</c:v>
                </c:pt>
                <c:pt idx="107">
                  <c:v>0.968801853417238</c:v>
                </c:pt>
                <c:pt idx="108">
                  <c:v>0.969349738580508</c:v>
                </c:pt>
                <c:pt idx="109">
                  <c:v>0.970148085532701</c:v>
                </c:pt>
                <c:pt idx="110">
                  <c:v>0.970993394070317</c:v>
                </c:pt>
                <c:pt idx="111">
                  <c:v>0.971650856266241</c:v>
                </c:pt>
                <c:pt idx="112">
                  <c:v>0.972417895494819</c:v>
                </c:pt>
                <c:pt idx="113">
                  <c:v>0.973137973137973</c:v>
                </c:pt>
                <c:pt idx="114">
                  <c:v>0.974061550984628</c:v>
                </c:pt>
                <c:pt idx="115">
                  <c:v>0.974765974765975</c:v>
                </c:pt>
                <c:pt idx="116">
                  <c:v>0.975298206067437</c:v>
                </c:pt>
                <c:pt idx="117">
                  <c:v>0.97609655301963</c:v>
                </c:pt>
                <c:pt idx="118">
                  <c:v>0.976879246110015</c:v>
                </c:pt>
                <c:pt idx="119">
                  <c:v>0.97759932375317</c:v>
                </c:pt>
                <c:pt idx="120">
                  <c:v>0.97814720891644</c:v>
                </c:pt>
                <c:pt idx="121">
                  <c:v>0.979086440624902</c:v>
                </c:pt>
                <c:pt idx="122">
                  <c:v>0.979743902820826</c:v>
                </c:pt>
                <c:pt idx="123">
                  <c:v>0.980323095707711</c:v>
                </c:pt>
                <c:pt idx="124">
                  <c:v>0.980651826805673</c:v>
                </c:pt>
                <c:pt idx="125">
                  <c:v>0.98115275038352</c:v>
                </c:pt>
                <c:pt idx="126">
                  <c:v>0.981700635546789</c:v>
                </c:pt>
                <c:pt idx="127">
                  <c:v>0.982123289815598</c:v>
                </c:pt>
                <c:pt idx="128">
                  <c:v>0.982498982498983</c:v>
                </c:pt>
                <c:pt idx="129">
                  <c:v>0.983187752418522</c:v>
                </c:pt>
                <c:pt idx="130">
                  <c:v>0.983673022134561</c:v>
                </c:pt>
                <c:pt idx="131">
                  <c:v>0.984377445915908</c:v>
                </c:pt>
                <c:pt idx="132">
                  <c:v>0.984800100184716</c:v>
                </c:pt>
                <c:pt idx="133">
                  <c:v>0.985207100591716</c:v>
                </c:pt>
                <c:pt idx="134">
                  <c:v>0.985629754860524</c:v>
                </c:pt>
                <c:pt idx="135">
                  <c:v>0.986036755267525</c:v>
                </c:pt>
                <c:pt idx="136">
                  <c:v>0.986490717259948</c:v>
                </c:pt>
                <c:pt idx="137">
                  <c:v>0.987085564008641</c:v>
                </c:pt>
                <c:pt idx="138">
                  <c:v>0.987633449171911</c:v>
                </c:pt>
                <c:pt idx="139">
                  <c:v>0.988134372749757</c:v>
                </c:pt>
                <c:pt idx="140">
                  <c:v>0.988541373156758</c:v>
                </c:pt>
                <c:pt idx="141">
                  <c:v>0.988823142669297</c:v>
                </c:pt>
                <c:pt idx="142">
                  <c:v>0.989308412385336</c:v>
                </c:pt>
                <c:pt idx="143">
                  <c:v>0.989965874581259</c:v>
                </c:pt>
                <c:pt idx="144">
                  <c:v>0.990310259541029</c:v>
                </c:pt>
                <c:pt idx="145">
                  <c:v>0.990529413606337</c:v>
                </c:pt>
                <c:pt idx="146">
                  <c:v>0.990748567671645</c:v>
                </c:pt>
                <c:pt idx="147">
                  <c:v>0.991139914216837</c:v>
                </c:pt>
                <c:pt idx="148">
                  <c:v>0.991452991452992</c:v>
                </c:pt>
                <c:pt idx="149">
                  <c:v>0.991766068689146</c:v>
                </c:pt>
                <c:pt idx="150">
                  <c:v>0.992032184339877</c:v>
                </c:pt>
                <c:pt idx="151">
                  <c:v>0.992407877023262</c:v>
                </c:pt>
                <c:pt idx="152">
                  <c:v>0.992658338812185</c:v>
                </c:pt>
                <c:pt idx="153">
                  <c:v>0.993002723771955</c:v>
                </c:pt>
                <c:pt idx="154">
                  <c:v>0.993300147146301</c:v>
                </c:pt>
                <c:pt idx="155">
                  <c:v>0.993456685764378</c:v>
                </c:pt>
                <c:pt idx="156">
                  <c:v>0.993816724585955</c:v>
                </c:pt>
                <c:pt idx="157">
                  <c:v>0.99412980182211</c:v>
                </c:pt>
                <c:pt idx="158">
                  <c:v>0.99433330202561</c:v>
                </c:pt>
                <c:pt idx="159">
                  <c:v>0.994615071538148</c:v>
                </c:pt>
                <c:pt idx="160">
                  <c:v>0.994865533327072</c:v>
                </c:pt>
                <c:pt idx="161">
                  <c:v>0.99508468739238</c:v>
                </c:pt>
                <c:pt idx="162">
                  <c:v>0.995429072352149</c:v>
                </c:pt>
                <c:pt idx="163">
                  <c:v>0.995742149588303</c:v>
                </c:pt>
                <c:pt idx="164">
                  <c:v>0.996055226824458</c:v>
                </c:pt>
                <c:pt idx="165">
                  <c:v>0.996321342475189</c:v>
                </c:pt>
                <c:pt idx="166">
                  <c:v>0.99658745812592</c:v>
                </c:pt>
                <c:pt idx="167">
                  <c:v>0.996900535362074</c:v>
                </c:pt>
                <c:pt idx="168">
                  <c:v>0.997150997150997</c:v>
                </c:pt>
                <c:pt idx="169">
                  <c:v>0.997385805078113</c:v>
                </c:pt>
                <c:pt idx="170">
                  <c:v>0.997620613005228</c:v>
                </c:pt>
                <c:pt idx="171">
                  <c:v>0.997792805485113</c:v>
                </c:pt>
                <c:pt idx="172">
                  <c:v>0.997964997964998</c:v>
                </c:pt>
                <c:pt idx="173">
                  <c:v>0.998168498168498</c:v>
                </c:pt>
                <c:pt idx="174">
                  <c:v>0.99829372906296</c:v>
                </c:pt>
                <c:pt idx="175">
                  <c:v>0.998387652233806</c:v>
                </c:pt>
                <c:pt idx="176">
                  <c:v>0.998528536990076</c:v>
                </c:pt>
                <c:pt idx="177">
                  <c:v>0.998747691055383</c:v>
                </c:pt>
                <c:pt idx="178">
                  <c:v>0.998919883535268</c:v>
                </c:pt>
                <c:pt idx="179">
                  <c:v>0.999092076015153</c:v>
                </c:pt>
                <c:pt idx="180">
                  <c:v>0.99924861463323</c:v>
                </c:pt>
                <c:pt idx="181">
                  <c:v>0.999311230080461</c:v>
                </c:pt>
                <c:pt idx="182">
                  <c:v>0.999342537804076</c:v>
                </c:pt>
                <c:pt idx="183">
                  <c:v>0.999405153251307</c:v>
                </c:pt>
                <c:pt idx="184">
                  <c:v>0.999420807113115</c:v>
                </c:pt>
                <c:pt idx="185">
                  <c:v>0.999499076422153</c:v>
                </c:pt>
                <c:pt idx="186">
                  <c:v>0.999608653454807</c:v>
                </c:pt>
                <c:pt idx="187">
                  <c:v>0.999671268902038</c:v>
                </c:pt>
                <c:pt idx="188">
                  <c:v>0.999718230487461</c:v>
                </c:pt>
                <c:pt idx="189">
                  <c:v>0.999780845934692</c:v>
                </c:pt>
                <c:pt idx="190">
                  <c:v>0.999812153658308</c:v>
                </c:pt>
                <c:pt idx="191">
                  <c:v>0.999827807520115</c:v>
                </c:pt>
                <c:pt idx="192">
                  <c:v>0.999874769105538</c:v>
                </c:pt>
                <c:pt idx="193">
                  <c:v>0.999906076829154</c:v>
                </c:pt>
                <c:pt idx="194">
                  <c:v>0.999937384552769</c:v>
                </c:pt>
                <c:pt idx="195">
                  <c:v>0.999953038414577</c:v>
                </c:pt>
                <c:pt idx="196">
                  <c:v>0.999968692276385</c:v>
                </c:pt>
                <c:pt idx="197">
                  <c:v>0.999984346138192</c:v>
                </c:pt>
                <c:pt idx="198">
                  <c:v>0.999984346138192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Fig6_ASVspoof!$G$21</c:f>
              <c:strCache>
                <c:ptCount val="1"/>
                <c:pt idx="0">
                  <c:v>Random (0.500)</c:v>
                </c:pt>
              </c:strCache>
            </c:strRef>
          </c:tx>
          <c:spPr>
            <a:solidFill>
              <a:srgbClr val="808080"/>
            </a:solidFill>
            <a:ln w="1584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84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ROC_data!$U$2:$U$3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ROC_data!$V$2:$V$3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</c:ser>
        <c:axId val="78276229"/>
        <c:axId val="70438721"/>
      </c:scatterChart>
      <c:valAx>
        <c:axId val="78276229"/>
        <c:scaling>
          <c:orientation val="minMax"/>
          <c:max val="1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404040"/>
                    </a:solidFill>
                    <a:uFillTx/>
                    <a:latin typeface="Calibri"/>
                  </a:rPr>
                  <a:t>False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70438721"/>
        <c:crosses val="autoZero"/>
        <c:crossBetween val="midCat"/>
        <c:majorUnit val="0.2"/>
      </c:valAx>
      <c:valAx>
        <c:axId val="704387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404040"/>
                    </a:solidFill>
                    <a:uFillTx/>
                    <a:latin typeface="Calibri"/>
                  </a:rPr>
                  <a:t>True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78276229"/>
        <c:crosses val="autoZero"/>
        <c:crossBetween val="midCat"/>
        <c:majorUnit val="0.2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6480">
          <a:solidFill>
            <a:srgbClr val="BFBFBF"/>
          </a:solidFill>
          <a:round/>
        </a:ln>
      </c:spPr>
      <c:txPr>
        <a:bodyPr/>
        <a:lstStyle/>
        <a:p>
          <a:pPr>
            <a:defRPr sz="900" b="0" u="none" strike="noStrike">
              <a:solidFill>
                <a:srgbClr val="40404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100" b="1" u="none" strike="noStrike">
                <a:solidFill>
                  <a:srgbClr val="262626"/>
                </a:solidFill>
                <a:uFillTx/>
                <a:latin typeface="Calibri"/>
              </a:rPr>
              <a:t>Fine-tuned EfficientNetV2-S + SVM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900" b="0" u="none" strike="noStrike">
                <a:solidFill>
                  <a:srgbClr val="262626"/>
                </a:solidFill>
                <a:uFillTx/>
                <a:latin typeface="Calibri"/>
              </a:rPr>
              <a:t>(FakeAVCeleb v1.2 Visual)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Fig7_FAV_Visual!$G$20</c:f>
              <c:strCache>
                <c:ptCount val="1"/>
                <c:pt idx="0">
                  <c:v>FakeAVCeleb v1.2 Visual (AUC = 1.000)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ROC_data!$G$2:$G$203</c:f>
              <c:numCache>
                <c:formatCode>General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0.005</c:v>
                </c:pt>
                <c:pt idx="3">
                  <c:v>0.01</c:v>
                </c:pt>
                <c:pt idx="4">
                  <c:v>0.015</c:v>
                </c:pt>
                <c:pt idx="5">
                  <c:v>0.02</c:v>
                </c:pt>
                <c:pt idx="6">
                  <c:v>0.025</c:v>
                </c:pt>
                <c:pt idx="7">
                  <c:v>0.03</c:v>
                </c:pt>
                <c:pt idx="8">
                  <c:v>0.035</c:v>
                </c:pt>
                <c:pt idx="9">
                  <c:v>0.04</c:v>
                </c:pt>
                <c:pt idx="10">
                  <c:v>0.045</c:v>
                </c:pt>
                <c:pt idx="11">
                  <c:v>0.05</c:v>
                </c:pt>
                <c:pt idx="12">
                  <c:v>0.055</c:v>
                </c:pt>
                <c:pt idx="13">
                  <c:v>0.06</c:v>
                </c:pt>
                <c:pt idx="14">
                  <c:v>0.065</c:v>
                </c:pt>
                <c:pt idx="15">
                  <c:v>0.07</c:v>
                </c:pt>
                <c:pt idx="16">
                  <c:v>0.075</c:v>
                </c:pt>
                <c:pt idx="17">
                  <c:v>0.08</c:v>
                </c:pt>
                <c:pt idx="18">
                  <c:v>0.085</c:v>
                </c:pt>
                <c:pt idx="19">
                  <c:v>0.09</c:v>
                </c:pt>
                <c:pt idx="20">
                  <c:v>0.095</c:v>
                </c:pt>
                <c:pt idx="21">
                  <c:v>0.1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</c:v>
                </c:pt>
                <c:pt idx="29">
                  <c:v>0.14</c:v>
                </c:pt>
                <c:pt idx="30">
                  <c:v>0.145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</c:v>
                </c:pt>
                <c:pt idx="35">
                  <c:v>0.17</c:v>
                </c:pt>
                <c:pt idx="36">
                  <c:v>0.175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0.195</c:v>
                </c:pt>
                <c:pt idx="41">
                  <c:v>0.2</c:v>
                </c:pt>
                <c:pt idx="42">
                  <c:v>0.205</c:v>
                </c:pt>
                <c:pt idx="43">
                  <c:v>0.21</c:v>
                </c:pt>
                <c:pt idx="44">
                  <c:v>0.215</c:v>
                </c:pt>
                <c:pt idx="45">
                  <c:v>0.22</c:v>
                </c:pt>
                <c:pt idx="46">
                  <c:v>0.225</c:v>
                </c:pt>
                <c:pt idx="47">
                  <c:v>0.23</c:v>
                </c:pt>
                <c:pt idx="48">
                  <c:v>0.235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</c:v>
                </c:pt>
                <c:pt idx="55">
                  <c:v>0.27</c:v>
                </c:pt>
                <c:pt idx="56">
                  <c:v>0.275</c:v>
                </c:pt>
                <c:pt idx="57">
                  <c:v>0.28</c:v>
                </c:pt>
                <c:pt idx="58">
                  <c:v>0.285</c:v>
                </c:pt>
                <c:pt idx="59">
                  <c:v>0.29</c:v>
                </c:pt>
                <c:pt idx="60">
                  <c:v>0.295</c:v>
                </c:pt>
                <c:pt idx="61">
                  <c:v>0.3</c:v>
                </c:pt>
                <c:pt idx="62">
                  <c:v>0.305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</c:v>
                </c:pt>
                <c:pt idx="67">
                  <c:v>0.33</c:v>
                </c:pt>
                <c:pt idx="68">
                  <c:v>0.335</c:v>
                </c:pt>
                <c:pt idx="69">
                  <c:v>0.34</c:v>
                </c:pt>
                <c:pt idx="70">
                  <c:v>0.345</c:v>
                </c:pt>
                <c:pt idx="71">
                  <c:v>0.35</c:v>
                </c:pt>
                <c:pt idx="72">
                  <c:v>0.355</c:v>
                </c:pt>
                <c:pt idx="73">
                  <c:v>0.36</c:v>
                </c:pt>
                <c:pt idx="74">
                  <c:v>0.365</c:v>
                </c:pt>
                <c:pt idx="75">
                  <c:v>0.37</c:v>
                </c:pt>
                <c:pt idx="76">
                  <c:v>0.375</c:v>
                </c:pt>
                <c:pt idx="77">
                  <c:v>0.38</c:v>
                </c:pt>
                <c:pt idx="78">
                  <c:v>0.385</c:v>
                </c:pt>
                <c:pt idx="79">
                  <c:v>0.39</c:v>
                </c:pt>
                <c:pt idx="80">
                  <c:v>0.395</c:v>
                </c:pt>
                <c:pt idx="81">
                  <c:v>0.4</c:v>
                </c:pt>
                <c:pt idx="82">
                  <c:v>0.405</c:v>
                </c:pt>
                <c:pt idx="83">
                  <c:v>0.41</c:v>
                </c:pt>
                <c:pt idx="84">
                  <c:v>0.415</c:v>
                </c:pt>
                <c:pt idx="85">
                  <c:v>0.42</c:v>
                </c:pt>
                <c:pt idx="86">
                  <c:v>0.425</c:v>
                </c:pt>
                <c:pt idx="87">
                  <c:v>0.43</c:v>
                </c:pt>
                <c:pt idx="88">
                  <c:v>0.435</c:v>
                </c:pt>
                <c:pt idx="89">
                  <c:v>0.44</c:v>
                </c:pt>
                <c:pt idx="90">
                  <c:v>0.445</c:v>
                </c:pt>
                <c:pt idx="91">
                  <c:v>0.45</c:v>
                </c:pt>
                <c:pt idx="92">
                  <c:v>0.455</c:v>
                </c:pt>
                <c:pt idx="93">
                  <c:v>0.46</c:v>
                </c:pt>
                <c:pt idx="94">
                  <c:v>0.465</c:v>
                </c:pt>
                <c:pt idx="95">
                  <c:v>0.47</c:v>
                </c:pt>
                <c:pt idx="96">
                  <c:v>0.475</c:v>
                </c:pt>
                <c:pt idx="97">
                  <c:v>0.48</c:v>
                </c:pt>
                <c:pt idx="98">
                  <c:v>0.485</c:v>
                </c:pt>
                <c:pt idx="99">
                  <c:v>0.49</c:v>
                </c:pt>
                <c:pt idx="100">
                  <c:v>0.495</c:v>
                </c:pt>
                <c:pt idx="101">
                  <c:v>0.5</c:v>
                </c:pt>
                <c:pt idx="102">
                  <c:v>0.505</c:v>
                </c:pt>
                <c:pt idx="103">
                  <c:v>0.51</c:v>
                </c:pt>
                <c:pt idx="104">
                  <c:v>0.515</c:v>
                </c:pt>
                <c:pt idx="105">
                  <c:v>0.52</c:v>
                </c:pt>
                <c:pt idx="106">
                  <c:v>0.525</c:v>
                </c:pt>
                <c:pt idx="107">
                  <c:v>0.53</c:v>
                </c:pt>
                <c:pt idx="108">
                  <c:v>0.535</c:v>
                </c:pt>
                <c:pt idx="109">
                  <c:v>0.54</c:v>
                </c:pt>
                <c:pt idx="110">
                  <c:v>0.545</c:v>
                </c:pt>
                <c:pt idx="111">
                  <c:v>0.55</c:v>
                </c:pt>
                <c:pt idx="112">
                  <c:v>0.555</c:v>
                </c:pt>
                <c:pt idx="113">
                  <c:v>0.56</c:v>
                </c:pt>
                <c:pt idx="114">
                  <c:v>0.565</c:v>
                </c:pt>
                <c:pt idx="115">
                  <c:v>0.57</c:v>
                </c:pt>
                <c:pt idx="116">
                  <c:v>0.575</c:v>
                </c:pt>
                <c:pt idx="117">
                  <c:v>0.58</c:v>
                </c:pt>
                <c:pt idx="118">
                  <c:v>0.585</c:v>
                </c:pt>
                <c:pt idx="119">
                  <c:v>0.59</c:v>
                </c:pt>
                <c:pt idx="120">
                  <c:v>0.595</c:v>
                </c:pt>
                <c:pt idx="121">
                  <c:v>0.6</c:v>
                </c:pt>
                <c:pt idx="122">
                  <c:v>0.605</c:v>
                </c:pt>
                <c:pt idx="123">
                  <c:v>0.61</c:v>
                </c:pt>
                <c:pt idx="124">
                  <c:v>0.615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0.635</c:v>
                </c:pt>
                <c:pt idx="129">
                  <c:v>0.64</c:v>
                </c:pt>
                <c:pt idx="130">
                  <c:v>0.645</c:v>
                </c:pt>
                <c:pt idx="131">
                  <c:v>0.65</c:v>
                </c:pt>
                <c:pt idx="132">
                  <c:v>0.655</c:v>
                </c:pt>
                <c:pt idx="133">
                  <c:v>0.66</c:v>
                </c:pt>
                <c:pt idx="134">
                  <c:v>0.665</c:v>
                </c:pt>
                <c:pt idx="135">
                  <c:v>0.67</c:v>
                </c:pt>
                <c:pt idx="136">
                  <c:v>0.675</c:v>
                </c:pt>
                <c:pt idx="137">
                  <c:v>0.68</c:v>
                </c:pt>
                <c:pt idx="138">
                  <c:v>0.685</c:v>
                </c:pt>
                <c:pt idx="139">
                  <c:v>0.69</c:v>
                </c:pt>
                <c:pt idx="140">
                  <c:v>0.695</c:v>
                </c:pt>
                <c:pt idx="141">
                  <c:v>0.7</c:v>
                </c:pt>
                <c:pt idx="142">
                  <c:v>0.705</c:v>
                </c:pt>
                <c:pt idx="143">
                  <c:v>0.71</c:v>
                </c:pt>
                <c:pt idx="144">
                  <c:v>0.715</c:v>
                </c:pt>
                <c:pt idx="145">
                  <c:v>0.72</c:v>
                </c:pt>
                <c:pt idx="146">
                  <c:v>0.725</c:v>
                </c:pt>
                <c:pt idx="147">
                  <c:v>0.73</c:v>
                </c:pt>
                <c:pt idx="148">
                  <c:v>0.735</c:v>
                </c:pt>
                <c:pt idx="149">
                  <c:v>0.74</c:v>
                </c:pt>
                <c:pt idx="150">
                  <c:v>0.745</c:v>
                </c:pt>
                <c:pt idx="151">
                  <c:v>0.75</c:v>
                </c:pt>
                <c:pt idx="152">
                  <c:v>0.755</c:v>
                </c:pt>
                <c:pt idx="153">
                  <c:v>0.76</c:v>
                </c:pt>
                <c:pt idx="154">
                  <c:v>0.765</c:v>
                </c:pt>
                <c:pt idx="155">
                  <c:v>0.77</c:v>
                </c:pt>
                <c:pt idx="156">
                  <c:v>0.775</c:v>
                </c:pt>
                <c:pt idx="157">
                  <c:v>0.78</c:v>
                </c:pt>
                <c:pt idx="158">
                  <c:v>0.785</c:v>
                </c:pt>
                <c:pt idx="159">
                  <c:v>0.79</c:v>
                </c:pt>
                <c:pt idx="160">
                  <c:v>0.795</c:v>
                </c:pt>
                <c:pt idx="161">
                  <c:v>0.8</c:v>
                </c:pt>
                <c:pt idx="162">
                  <c:v>0.805</c:v>
                </c:pt>
                <c:pt idx="163">
                  <c:v>0.81</c:v>
                </c:pt>
                <c:pt idx="164">
                  <c:v>0.815</c:v>
                </c:pt>
                <c:pt idx="165">
                  <c:v>0.82</c:v>
                </c:pt>
                <c:pt idx="166">
                  <c:v>0.825</c:v>
                </c:pt>
                <c:pt idx="167">
                  <c:v>0.83</c:v>
                </c:pt>
                <c:pt idx="168">
                  <c:v>0.835</c:v>
                </c:pt>
                <c:pt idx="169">
                  <c:v>0.84</c:v>
                </c:pt>
                <c:pt idx="170">
                  <c:v>0.845</c:v>
                </c:pt>
                <c:pt idx="171">
                  <c:v>0.85</c:v>
                </c:pt>
                <c:pt idx="172">
                  <c:v>0.855</c:v>
                </c:pt>
                <c:pt idx="173">
                  <c:v>0.86</c:v>
                </c:pt>
                <c:pt idx="174">
                  <c:v>0.865</c:v>
                </c:pt>
                <c:pt idx="175">
                  <c:v>0.87</c:v>
                </c:pt>
                <c:pt idx="176">
                  <c:v>0.875</c:v>
                </c:pt>
                <c:pt idx="177">
                  <c:v>0.88</c:v>
                </c:pt>
                <c:pt idx="178">
                  <c:v>0.885</c:v>
                </c:pt>
                <c:pt idx="179">
                  <c:v>0.89</c:v>
                </c:pt>
                <c:pt idx="180">
                  <c:v>0.895</c:v>
                </c:pt>
                <c:pt idx="181">
                  <c:v>0.9</c:v>
                </c:pt>
                <c:pt idx="182">
                  <c:v>0.905</c:v>
                </c:pt>
                <c:pt idx="183">
                  <c:v>0.91</c:v>
                </c:pt>
                <c:pt idx="184">
                  <c:v>0.915</c:v>
                </c:pt>
                <c:pt idx="185">
                  <c:v>0.92</c:v>
                </c:pt>
                <c:pt idx="186">
                  <c:v>0.925</c:v>
                </c:pt>
                <c:pt idx="187">
                  <c:v>0.93</c:v>
                </c:pt>
                <c:pt idx="188">
                  <c:v>0.935</c:v>
                </c:pt>
                <c:pt idx="189">
                  <c:v>0.94</c:v>
                </c:pt>
                <c:pt idx="190">
                  <c:v>0.945</c:v>
                </c:pt>
                <c:pt idx="191">
                  <c:v>0.95</c:v>
                </c:pt>
                <c:pt idx="192">
                  <c:v>0.955</c:v>
                </c:pt>
                <c:pt idx="193">
                  <c:v>0.96</c:v>
                </c:pt>
                <c:pt idx="194">
                  <c:v>0.965</c:v>
                </c:pt>
                <c:pt idx="195">
                  <c:v>0.97</c:v>
                </c:pt>
                <c:pt idx="196">
                  <c:v>0.975</c:v>
                </c:pt>
                <c:pt idx="197">
                  <c:v>0.98</c:v>
                </c:pt>
                <c:pt idx="198">
                  <c:v>0.985</c:v>
                </c:pt>
                <c:pt idx="199">
                  <c:v>0.99</c:v>
                </c:pt>
                <c:pt idx="200">
                  <c:v>0.995</c:v>
                </c:pt>
                <c:pt idx="201">
                  <c:v>1</c:v>
                </c:pt>
              </c:numCache>
            </c:numRef>
          </c:xVal>
          <c:yVal>
            <c:numRef>
              <c:f>ROC_data!$H$2:$H$203</c:f>
              <c:numCache>
                <c:formatCode>General</c:formatCode>
                <c:ptCount val="20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Fig7_FAV_Visual!$G$21</c:f>
              <c:strCache>
                <c:ptCount val="1"/>
                <c:pt idx="0">
                  <c:v>Random (0.500)</c:v>
                </c:pt>
              </c:strCache>
            </c:strRef>
          </c:tx>
          <c:spPr>
            <a:solidFill>
              <a:srgbClr val="808080"/>
            </a:solidFill>
            <a:ln w="1584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84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ROC_data!$U$2:$U$3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ROC_data!$V$2:$V$3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</c:ser>
        <c:axId val="79469236"/>
        <c:axId val="94928199"/>
      </c:scatterChart>
      <c:valAx>
        <c:axId val="79469236"/>
        <c:scaling>
          <c:orientation val="minMax"/>
          <c:max val="1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404040"/>
                    </a:solidFill>
                    <a:uFillTx/>
                    <a:latin typeface="Calibri"/>
                  </a:rPr>
                  <a:t>False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94928199"/>
        <c:crosses val="autoZero"/>
        <c:crossBetween val="midCat"/>
        <c:majorUnit val="0.2"/>
      </c:valAx>
      <c:valAx>
        <c:axId val="94928199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404040"/>
                    </a:solidFill>
                    <a:uFillTx/>
                    <a:latin typeface="Calibri"/>
                  </a:rPr>
                  <a:t>True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79469236"/>
        <c:crosses val="autoZero"/>
        <c:crossBetween val="midCat"/>
        <c:majorUnit val="0.2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6480">
          <a:solidFill>
            <a:srgbClr val="BFBFBF"/>
          </a:solidFill>
          <a:round/>
        </a:ln>
      </c:spPr>
      <c:txPr>
        <a:bodyPr/>
        <a:lstStyle/>
        <a:p>
          <a:pPr>
            <a:defRPr sz="900" b="0" u="none" strike="noStrike">
              <a:solidFill>
                <a:srgbClr val="40404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100" b="1" u="none" strike="noStrike">
                <a:solidFill>
                  <a:srgbClr val="262626"/>
                </a:solidFill>
                <a:uFillTx/>
                <a:latin typeface="Calibri"/>
              </a:rPr>
              <a:t>MFCC + SVM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900" b="0" u="none" strike="noStrike">
                <a:solidFill>
                  <a:srgbClr val="262626"/>
                </a:solidFill>
                <a:uFillTx/>
                <a:latin typeface="Calibri"/>
              </a:rPr>
              <a:t>(FakeAVCeleb v1.2 Audio)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Fig8_FAV_Audio!$G$20</c:f>
              <c:strCache>
                <c:ptCount val="1"/>
                <c:pt idx="0">
                  <c:v>FakeAVCeleb v1.2 Audio (AUC = 0.988)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ROC_data!$I$2:$I$203</c:f>
              <c:numCache>
                <c:formatCode>General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0.005</c:v>
                </c:pt>
                <c:pt idx="3">
                  <c:v>0.01</c:v>
                </c:pt>
                <c:pt idx="4">
                  <c:v>0.015</c:v>
                </c:pt>
                <c:pt idx="5">
                  <c:v>0.02</c:v>
                </c:pt>
                <c:pt idx="6">
                  <c:v>0.025</c:v>
                </c:pt>
                <c:pt idx="7">
                  <c:v>0.03</c:v>
                </c:pt>
                <c:pt idx="8">
                  <c:v>0.035</c:v>
                </c:pt>
                <c:pt idx="9">
                  <c:v>0.04</c:v>
                </c:pt>
                <c:pt idx="10">
                  <c:v>0.045</c:v>
                </c:pt>
                <c:pt idx="11">
                  <c:v>0.05</c:v>
                </c:pt>
                <c:pt idx="12">
                  <c:v>0.055</c:v>
                </c:pt>
                <c:pt idx="13">
                  <c:v>0.06</c:v>
                </c:pt>
                <c:pt idx="14">
                  <c:v>0.065</c:v>
                </c:pt>
                <c:pt idx="15">
                  <c:v>0.07</c:v>
                </c:pt>
                <c:pt idx="16">
                  <c:v>0.075</c:v>
                </c:pt>
                <c:pt idx="17">
                  <c:v>0.08</c:v>
                </c:pt>
                <c:pt idx="18">
                  <c:v>0.085</c:v>
                </c:pt>
                <c:pt idx="19">
                  <c:v>0.09</c:v>
                </c:pt>
                <c:pt idx="20">
                  <c:v>0.095</c:v>
                </c:pt>
                <c:pt idx="21">
                  <c:v>0.1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</c:v>
                </c:pt>
                <c:pt idx="29">
                  <c:v>0.14</c:v>
                </c:pt>
                <c:pt idx="30">
                  <c:v>0.145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</c:v>
                </c:pt>
                <c:pt idx="35">
                  <c:v>0.17</c:v>
                </c:pt>
                <c:pt idx="36">
                  <c:v>0.175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0.195</c:v>
                </c:pt>
                <c:pt idx="41">
                  <c:v>0.2</c:v>
                </c:pt>
                <c:pt idx="42">
                  <c:v>0.205</c:v>
                </c:pt>
                <c:pt idx="43">
                  <c:v>0.21</c:v>
                </c:pt>
                <c:pt idx="44">
                  <c:v>0.215</c:v>
                </c:pt>
                <c:pt idx="45">
                  <c:v>0.22</c:v>
                </c:pt>
                <c:pt idx="46">
                  <c:v>0.225</c:v>
                </c:pt>
                <c:pt idx="47">
                  <c:v>0.23</c:v>
                </c:pt>
                <c:pt idx="48">
                  <c:v>0.235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</c:v>
                </c:pt>
                <c:pt idx="55">
                  <c:v>0.27</c:v>
                </c:pt>
                <c:pt idx="56">
                  <c:v>0.275</c:v>
                </c:pt>
                <c:pt idx="57">
                  <c:v>0.28</c:v>
                </c:pt>
                <c:pt idx="58">
                  <c:v>0.285</c:v>
                </c:pt>
                <c:pt idx="59">
                  <c:v>0.29</c:v>
                </c:pt>
                <c:pt idx="60">
                  <c:v>0.295</c:v>
                </c:pt>
                <c:pt idx="61">
                  <c:v>0.3</c:v>
                </c:pt>
                <c:pt idx="62">
                  <c:v>0.305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</c:v>
                </c:pt>
                <c:pt idx="67">
                  <c:v>0.33</c:v>
                </c:pt>
                <c:pt idx="68">
                  <c:v>0.335</c:v>
                </c:pt>
                <c:pt idx="69">
                  <c:v>0.34</c:v>
                </c:pt>
                <c:pt idx="70">
                  <c:v>0.345</c:v>
                </c:pt>
                <c:pt idx="71">
                  <c:v>0.35</c:v>
                </c:pt>
                <c:pt idx="72">
                  <c:v>0.355</c:v>
                </c:pt>
                <c:pt idx="73">
                  <c:v>0.36</c:v>
                </c:pt>
                <c:pt idx="74">
                  <c:v>0.365</c:v>
                </c:pt>
                <c:pt idx="75">
                  <c:v>0.37</c:v>
                </c:pt>
                <c:pt idx="76">
                  <c:v>0.375</c:v>
                </c:pt>
                <c:pt idx="77">
                  <c:v>0.38</c:v>
                </c:pt>
                <c:pt idx="78">
                  <c:v>0.385</c:v>
                </c:pt>
                <c:pt idx="79">
                  <c:v>0.39</c:v>
                </c:pt>
                <c:pt idx="80">
                  <c:v>0.395</c:v>
                </c:pt>
                <c:pt idx="81">
                  <c:v>0.4</c:v>
                </c:pt>
                <c:pt idx="82">
                  <c:v>0.405</c:v>
                </c:pt>
                <c:pt idx="83">
                  <c:v>0.41</c:v>
                </c:pt>
                <c:pt idx="84">
                  <c:v>0.415</c:v>
                </c:pt>
                <c:pt idx="85">
                  <c:v>0.42</c:v>
                </c:pt>
                <c:pt idx="86">
                  <c:v>0.425</c:v>
                </c:pt>
                <c:pt idx="87">
                  <c:v>0.43</c:v>
                </c:pt>
                <c:pt idx="88">
                  <c:v>0.435</c:v>
                </c:pt>
                <c:pt idx="89">
                  <c:v>0.44</c:v>
                </c:pt>
                <c:pt idx="90">
                  <c:v>0.445</c:v>
                </c:pt>
                <c:pt idx="91">
                  <c:v>0.45</c:v>
                </c:pt>
                <c:pt idx="92">
                  <c:v>0.455</c:v>
                </c:pt>
                <c:pt idx="93">
                  <c:v>0.46</c:v>
                </c:pt>
                <c:pt idx="94">
                  <c:v>0.465</c:v>
                </c:pt>
                <c:pt idx="95">
                  <c:v>0.47</c:v>
                </c:pt>
                <c:pt idx="96">
                  <c:v>0.475</c:v>
                </c:pt>
                <c:pt idx="97">
                  <c:v>0.48</c:v>
                </c:pt>
                <c:pt idx="98">
                  <c:v>0.485</c:v>
                </c:pt>
                <c:pt idx="99">
                  <c:v>0.49</c:v>
                </c:pt>
                <c:pt idx="100">
                  <c:v>0.495</c:v>
                </c:pt>
                <c:pt idx="101">
                  <c:v>0.5</c:v>
                </c:pt>
                <c:pt idx="102">
                  <c:v>0.505</c:v>
                </c:pt>
                <c:pt idx="103">
                  <c:v>0.51</c:v>
                </c:pt>
                <c:pt idx="104">
                  <c:v>0.515</c:v>
                </c:pt>
                <c:pt idx="105">
                  <c:v>0.52</c:v>
                </c:pt>
                <c:pt idx="106">
                  <c:v>0.525</c:v>
                </c:pt>
                <c:pt idx="107">
                  <c:v>0.53</c:v>
                </c:pt>
                <c:pt idx="108">
                  <c:v>0.535</c:v>
                </c:pt>
                <c:pt idx="109">
                  <c:v>0.54</c:v>
                </c:pt>
                <c:pt idx="110">
                  <c:v>0.545</c:v>
                </c:pt>
                <c:pt idx="111">
                  <c:v>0.55</c:v>
                </c:pt>
                <c:pt idx="112">
                  <c:v>0.555</c:v>
                </c:pt>
                <c:pt idx="113">
                  <c:v>0.56</c:v>
                </c:pt>
                <c:pt idx="114">
                  <c:v>0.565</c:v>
                </c:pt>
                <c:pt idx="115">
                  <c:v>0.57</c:v>
                </c:pt>
                <c:pt idx="116">
                  <c:v>0.575</c:v>
                </c:pt>
                <c:pt idx="117">
                  <c:v>0.58</c:v>
                </c:pt>
                <c:pt idx="118">
                  <c:v>0.585</c:v>
                </c:pt>
                <c:pt idx="119">
                  <c:v>0.59</c:v>
                </c:pt>
                <c:pt idx="120">
                  <c:v>0.595</c:v>
                </c:pt>
                <c:pt idx="121">
                  <c:v>0.6</c:v>
                </c:pt>
                <c:pt idx="122">
                  <c:v>0.605</c:v>
                </c:pt>
                <c:pt idx="123">
                  <c:v>0.61</c:v>
                </c:pt>
                <c:pt idx="124">
                  <c:v>0.615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0.635</c:v>
                </c:pt>
                <c:pt idx="129">
                  <c:v>0.64</c:v>
                </c:pt>
                <c:pt idx="130">
                  <c:v>0.645</c:v>
                </c:pt>
                <c:pt idx="131">
                  <c:v>0.65</c:v>
                </c:pt>
                <c:pt idx="132">
                  <c:v>0.655</c:v>
                </c:pt>
                <c:pt idx="133">
                  <c:v>0.66</c:v>
                </c:pt>
                <c:pt idx="134">
                  <c:v>0.665</c:v>
                </c:pt>
                <c:pt idx="135">
                  <c:v>0.67</c:v>
                </c:pt>
                <c:pt idx="136">
                  <c:v>0.675</c:v>
                </c:pt>
                <c:pt idx="137">
                  <c:v>0.68</c:v>
                </c:pt>
                <c:pt idx="138">
                  <c:v>0.685</c:v>
                </c:pt>
                <c:pt idx="139">
                  <c:v>0.69</c:v>
                </c:pt>
                <c:pt idx="140">
                  <c:v>0.695</c:v>
                </c:pt>
                <c:pt idx="141">
                  <c:v>0.7</c:v>
                </c:pt>
                <c:pt idx="142">
                  <c:v>0.705</c:v>
                </c:pt>
                <c:pt idx="143">
                  <c:v>0.71</c:v>
                </c:pt>
                <c:pt idx="144">
                  <c:v>0.715</c:v>
                </c:pt>
                <c:pt idx="145">
                  <c:v>0.72</c:v>
                </c:pt>
                <c:pt idx="146">
                  <c:v>0.725</c:v>
                </c:pt>
                <c:pt idx="147">
                  <c:v>0.73</c:v>
                </c:pt>
                <c:pt idx="148">
                  <c:v>0.735</c:v>
                </c:pt>
                <c:pt idx="149">
                  <c:v>0.74</c:v>
                </c:pt>
                <c:pt idx="150">
                  <c:v>0.745</c:v>
                </c:pt>
                <c:pt idx="151">
                  <c:v>0.75</c:v>
                </c:pt>
                <c:pt idx="152">
                  <c:v>0.755</c:v>
                </c:pt>
                <c:pt idx="153">
                  <c:v>0.76</c:v>
                </c:pt>
                <c:pt idx="154">
                  <c:v>0.765</c:v>
                </c:pt>
                <c:pt idx="155">
                  <c:v>0.77</c:v>
                </c:pt>
                <c:pt idx="156">
                  <c:v>0.775</c:v>
                </c:pt>
                <c:pt idx="157">
                  <c:v>0.78</c:v>
                </c:pt>
                <c:pt idx="158">
                  <c:v>0.785</c:v>
                </c:pt>
                <c:pt idx="159">
                  <c:v>0.79</c:v>
                </c:pt>
                <c:pt idx="160">
                  <c:v>0.795</c:v>
                </c:pt>
                <c:pt idx="161">
                  <c:v>0.8</c:v>
                </c:pt>
                <c:pt idx="162">
                  <c:v>0.805</c:v>
                </c:pt>
                <c:pt idx="163">
                  <c:v>0.81</c:v>
                </c:pt>
                <c:pt idx="164">
                  <c:v>0.815</c:v>
                </c:pt>
                <c:pt idx="165">
                  <c:v>0.82</c:v>
                </c:pt>
                <c:pt idx="166">
                  <c:v>0.825</c:v>
                </c:pt>
                <c:pt idx="167">
                  <c:v>0.83</c:v>
                </c:pt>
                <c:pt idx="168">
                  <c:v>0.835</c:v>
                </c:pt>
                <c:pt idx="169">
                  <c:v>0.84</c:v>
                </c:pt>
                <c:pt idx="170">
                  <c:v>0.845</c:v>
                </c:pt>
                <c:pt idx="171">
                  <c:v>0.85</c:v>
                </c:pt>
                <c:pt idx="172">
                  <c:v>0.855</c:v>
                </c:pt>
                <c:pt idx="173">
                  <c:v>0.86</c:v>
                </c:pt>
                <c:pt idx="174">
                  <c:v>0.865</c:v>
                </c:pt>
                <c:pt idx="175">
                  <c:v>0.87</c:v>
                </c:pt>
                <c:pt idx="176">
                  <c:v>0.875</c:v>
                </c:pt>
                <c:pt idx="177">
                  <c:v>0.88</c:v>
                </c:pt>
                <c:pt idx="178">
                  <c:v>0.885</c:v>
                </c:pt>
                <c:pt idx="179">
                  <c:v>0.89</c:v>
                </c:pt>
                <c:pt idx="180">
                  <c:v>0.895</c:v>
                </c:pt>
                <c:pt idx="181">
                  <c:v>0.9</c:v>
                </c:pt>
                <c:pt idx="182">
                  <c:v>0.905</c:v>
                </c:pt>
                <c:pt idx="183">
                  <c:v>0.91</c:v>
                </c:pt>
                <c:pt idx="184">
                  <c:v>0.915</c:v>
                </c:pt>
                <c:pt idx="185">
                  <c:v>0.92</c:v>
                </c:pt>
                <c:pt idx="186">
                  <c:v>0.925</c:v>
                </c:pt>
                <c:pt idx="187">
                  <c:v>0.93</c:v>
                </c:pt>
                <c:pt idx="188">
                  <c:v>0.935</c:v>
                </c:pt>
                <c:pt idx="189">
                  <c:v>0.94</c:v>
                </c:pt>
                <c:pt idx="190">
                  <c:v>0.945</c:v>
                </c:pt>
                <c:pt idx="191">
                  <c:v>0.95</c:v>
                </c:pt>
                <c:pt idx="192">
                  <c:v>0.955</c:v>
                </c:pt>
                <c:pt idx="193">
                  <c:v>0.96</c:v>
                </c:pt>
                <c:pt idx="194">
                  <c:v>0.965</c:v>
                </c:pt>
                <c:pt idx="195">
                  <c:v>0.97</c:v>
                </c:pt>
                <c:pt idx="196">
                  <c:v>0.975</c:v>
                </c:pt>
                <c:pt idx="197">
                  <c:v>0.98</c:v>
                </c:pt>
                <c:pt idx="198">
                  <c:v>0.985</c:v>
                </c:pt>
                <c:pt idx="199">
                  <c:v>0.99</c:v>
                </c:pt>
                <c:pt idx="200">
                  <c:v>0.995</c:v>
                </c:pt>
                <c:pt idx="201">
                  <c:v>1</c:v>
                </c:pt>
              </c:numCache>
            </c:numRef>
          </c:xVal>
          <c:yVal>
            <c:numRef>
              <c:f>ROC_data!$J$2:$J$203</c:f>
              <c:numCache>
                <c:formatCode>General</c:formatCode>
                <c:ptCount val="202"/>
                <c:pt idx="0">
                  <c:v>0</c:v>
                </c:pt>
                <c:pt idx="1">
                  <c:v>0.666666666666667</c:v>
                </c:pt>
                <c:pt idx="2">
                  <c:v>0.666666666666667</c:v>
                </c:pt>
                <c:pt idx="3">
                  <c:v>0.743589743589744</c:v>
                </c:pt>
                <c:pt idx="4">
                  <c:v>0.743589743589744</c:v>
                </c:pt>
                <c:pt idx="5">
                  <c:v>0.974358974358974</c:v>
                </c:pt>
                <c:pt idx="6">
                  <c:v>0.974358974358974</c:v>
                </c:pt>
                <c:pt idx="7">
                  <c:v>0.974358974358974</c:v>
                </c:pt>
                <c:pt idx="8">
                  <c:v>0.974358974358974</c:v>
                </c:pt>
                <c:pt idx="9">
                  <c:v>0.974358974358974</c:v>
                </c:pt>
                <c:pt idx="10">
                  <c:v>0.974358974358974</c:v>
                </c:pt>
                <c:pt idx="11">
                  <c:v>0.974358974358974</c:v>
                </c:pt>
                <c:pt idx="12">
                  <c:v>0.974358974358974</c:v>
                </c:pt>
                <c:pt idx="13">
                  <c:v>0.974358974358974</c:v>
                </c:pt>
                <c:pt idx="14">
                  <c:v>0.974358974358974</c:v>
                </c:pt>
                <c:pt idx="15">
                  <c:v>0.974358974358974</c:v>
                </c:pt>
                <c:pt idx="16">
                  <c:v>0.974358974358974</c:v>
                </c:pt>
                <c:pt idx="17">
                  <c:v>0.974358974358974</c:v>
                </c:pt>
                <c:pt idx="18">
                  <c:v>0.974358974358974</c:v>
                </c:pt>
                <c:pt idx="19">
                  <c:v>0.974358974358974</c:v>
                </c:pt>
                <c:pt idx="20">
                  <c:v>0.974358974358974</c:v>
                </c:pt>
                <c:pt idx="21">
                  <c:v>0.974358974358974</c:v>
                </c:pt>
                <c:pt idx="22">
                  <c:v>0.974358974358974</c:v>
                </c:pt>
                <c:pt idx="23">
                  <c:v>0.974358974358974</c:v>
                </c:pt>
                <c:pt idx="24">
                  <c:v>0.974358974358974</c:v>
                </c:pt>
                <c:pt idx="25">
                  <c:v>0.974358974358974</c:v>
                </c:pt>
                <c:pt idx="26">
                  <c:v>0.974358974358974</c:v>
                </c:pt>
                <c:pt idx="27">
                  <c:v>0.974358974358974</c:v>
                </c:pt>
                <c:pt idx="28">
                  <c:v>0.974358974358974</c:v>
                </c:pt>
                <c:pt idx="29">
                  <c:v>0.974358974358974</c:v>
                </c:pt>
                <c:pt idx="30">
                  <c:v>0.974358974358974</c:v>
                </c:pt>
                <c:pt idx="31">
                  <c:v>0.974358974358974</c:v>
                </c:pt>
                <c:pt idx="32">
                  <c:v>0.974358974358974</c:v>
                </c:pt>
                <c:pt idx="33">
                  <c:v>0.974358974358974</c:v>
                </c:pt>
                <c:pt idx="34">
                  <c:v>0.974358974358974</c:v>
                </c:pt>
                <c:pt idx="35">
                  <c:v>0.974358974358974</c:v>
                </c:pt>
                <c:pt idx="36">
                  <c:v>0.974358974358974</c:v>
                </c:pt>
                <c:pt idx="37">
                  <c:v>0.974358974358974</c:v>
                </c:pt>
                <c:pt idx="38">
                  <c:v>0.974358974358974</c:v>
                </c:pt>
                <c:pt idx="39">
                  <c:v>0.974358974358974</c:v>
                </c:pt>
                <c:pt idx="40">
                  <c:v>0.974358974358974</c:v>
                </c:pt>
                <c:pt idx="41">
                  <c:v>0.974358974358974</c:v>
                </c:pt>
                <c:pt idx="42">
                  <c:v>0.974358974358974</c:v>
                </c:pt>
                <c:pt idx="43">
                  <c:v>0.974358974358974</c:v>
                </c:pt>
                <c:pt idx="44">
                  <c:v>0.974358974358974</c:v>
                </c:pt>
                <c:pt idx="45">
                  <c:v>0.974358974358974</c:v>
                </c:pt>
                <c:pt idx="46">
                  <c:v>0.974358974358974</c:v>
                </c:pt>
                <c:pt idx="47">
                  <c:v>0.974358974358974</c:v>
                </c:pt>
                <c:pt idx="48">
                  <c:v>0.974358974358974</c:v>
                </c:pt>
                <c:pt idx="49">
                  <c:v>0.974358974358974</c:v>
                </c:pt>
                <c:pt idx="50">
                  <c:v>0.974358974358974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Fig8_FAV_Audio!$G$21</c:f>
              <c:strCache>
                <c:ptCount val="1"/>
                <c:pt idx="0">
                  <c:v>Random (0.500)</c:v>
                </c:pt>
              </c:strCache>
            </c:strRef>
          </c:tx>
          <c:spPr>
            <a:solidFill>
              <a:srgbClr val="808080"/>
            </a:solidFill>
            <a:ln w="1584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84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ROC_data!$U$2:$U$3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ROC_data!$V$2:$V$3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</c:ser>
        <c:axId val="64815909"/>
        <c:axId val="57813493"/>
      </c:scatterChart>
      <c:valAx>
        <c:axId val="64815909"/>
        <c:scaling>
          <c:orientation val="minMax"/>
          <c:max val="1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404040"/>
                    </a:solidFill>
                    <a:uFillTx/>
                    <a:latin typeface="Calibri"/>
                  </a:rPr>
                  <a:t>False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57813493"/>
        <c:crosses val="autoZero"/>
        <c:crossBetween val="midCat"/>
        <c:majorUnit val="0.2"/>
      </c:valAx>
      <c:valAx>
        <c:axId val="57813493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404040"/>
                    </a:solidFill>
                    <a:uFillTx/>
                    <a:latin typeface="Calibri"/>
                  </a:rPr>
                  <a:t>True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64815909"/>
        <c:crosses val="autoZero"/>
        <c:crossBetween val="midCat"/>
        <c:majorUnit val="0.2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6480">
          <a:solidFill>
            <a:srgbClr val="BFBFBF"/>
          </a:solidFill>
          <a:round/>
        </a:ln>
      </c:spPr>
      <c:txPr>
        <a:bodyPr/>
        <a:lstStyle/>
        <a:p>
          <a:pPr>
            <a:defRPr sz="900" b="0" u="none" strike="noStrike">
              <a:solidFill>
                <a:srgbClr val="40404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100" b="1" u="none" strike="noStrike">
                <a:solidFill>
                  <a:srgbClr val="262626"/>
                </a:solidFill>
                <a:uFillTx/>
                <a:latin typeface="Calibri"/>
              </a:rPr>
              <a:t>EfficientNetV2-S + MFCC fusion SVM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900" b="0" u="none" strike="noStrike">
                <a:solidFill>
                  <a:srgbClr val="262626"/>
                </a:solidFill>
                <a:uFillTx/>
                <a:latin typeface="Calibri"/>
              </a:rPr>
              <a:t>(FakeAVCeleb v1.2 AV Fusion)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Fig9_FAV_Fusion!$G$20</c:f>
              <c:strCache>
                <c:ptCount val="1"/>
                <c:pt idx="0">
                  <c:v>FakeAVCeleb v1.2 AV Fusion (AUC = 1.000)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ROC_data!$K$2:$K$203</c:f>
              <c:numCache>
                <c:formatCode>General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0.005</c:v>
                </c:pt>
                <c:pt idx="3">
                  <c:v>0.01</c:v>
                </c:pt>
                <c:pt idx="4">
                  <c:v>0.015</c:v>
                </c:pt>
                <c:pt idx="5">
                  <c:v>0.02</c:v>
                </c:pt>
                <c:pt idx="6">
                  <c:v>0.025</c:v>
                </c:pt>
                <c:pt idx="7">
                  <c:v>0.03</c:v>
                </c:pt>
                <c:pt idx="8">
                  <c:v>0.035</c:v>
                </c:pt>
                <c:pt idx="9">
                  <c:v>0.04</c:v>
                </c:pt>
                <c:pt idx="10">
                  <c:v>0.045</c:v>
                </c:pt>
                <c:pt idx="11">
                  <c:v>0.05</c:v>
                </c:pt>
                <c:pt idx="12">
                  <c:v>0.055</c:v>
                </c:pt>
                <c:pt idx="13">
                  <c:v>0.06</c:v>
                </c:pt>
                <c:pt idx="14">
                  <c:v>0.065</c:v>
                </c:pt>
                <c:pt idx="15">
                  <c:v>0.07</c:v>
                </c:pt>
                <c:pt idx="16">
                  <c:v>0.075</c:v>
                </c:pt>
                <c:pt idx="17">
                  <c:v>0.08</c:v>
                </c:pt>
                <c:pt idx="18">
                  <c:v>0.085</c:v>
                </c:pt>
                <c:pt idx="19">
                  <c:v>0.09</c:v>
                </c:pt>
                <c:pt idx="20">
                  <c:v>0.095</c:v>
                </c:pt>
                <c:pt idx="21">
                  <c:v>0.1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</c:v>
                </c:pt>
                <c:pt idx="29">
                  <c:v>0.14</c:v>
                </c:pt>
                <c:pt idx="30">
                  <c:v>0.145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</c:v>
                </c:pt>
                <c:pt idx="35">
                  <c:v>0.17</c:v>
                </c:pt>
                <c:pt idx="36">
                  <c:v>0.175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0.195</c:v>
                </c:pt>
                <c:pt idx="41">
                  <c:v>0.2</c:v>
                </c:pt>
                <c:pt idx="42">
                  <c:v>0.205</c:v>
                </c:pt>
                <c:pt idx="43">
                  <c:v>0.21</c:v>
                </c:pt>
                <c:pt idx="44">
                  <c:v>0.215</c:v>
                </c:pt>
                <c:pt idx="45">
                  <c:v>0.22</c:v>
                </c:pt>
                <c:pt idx="46">
                  <c:v>0.225</c:v>
                </c:pt>
                <c:pt idx="47">
                  <c:v>0.23</c:v>
                </c:pt>
                <c:pt idx="48">
                  <c:v>0.235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</c:v>
                </c:pt>
                <c:pt idx="55">
                  <c:v>0.27</c:v>
                </c:pt>
                <c:pt idx="56">
                  <c:v>0.275</c:v>
                </c:pt>
                <c:pt idx="57">
                  <c:v>0.28</c:v>
                </c:pt>
                <c:pt idx="58">
                  <c:v>0.285</c:v>
                </c:pt>
                <c:pt idx="59">
                  <c:v>0.29</c:v>
                </c:pt>
                <c:pt idx="60">
                  <c:v>0.295</c:v>
                </c:pt>
                <c:pt idx="61">
                  <c:v>0.3</c:v>
                </c:pt>
                <c:pt idx="62">
                  <c:v>0.305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</c:v>
                </c:pt>
                <c:pt idx="67">
                  <c:v>0.33</c:v>
                </c:pt>
                <c:pt idx="68">
                  <c:v>0.335</c:v>
                </c:pt>
                <c:pt idx="69">
                  <c:v>0.34</c:v>
                </c:pt>
                <c:pt idx="70">
                  <c:v>0.345</c:v>
                </c:pt>
                <c:pt idx="71">
                  <c:v>0.35</c:v>
                </c:pt>
                <c:pt idx="72">
                  <c:v>0.355</c:v>
                </c:pt>
                <c:pt idx="73">
                  <c:v>0.36</c:v>
                </c:pt>
                <c:pt idx="74">
                  <c:v>0.365</c:v>
                </c:pt>
                <c:pt idx="75">
                  <c:v>0.37</c:v>
                </c:pt>
                <c:pt idx="76">
                  <c:v>0.375</c:v>
                </c:pt>
                <c:pt idx="77">
                  <c:v>0.38</c:v>
                </c:pt>
                <c:pt idx="78">
                  <c:v>0.385</c:v>
                </c:pt>
                <c:pt idx="79">
                  <c:v>0.39</c:v>
                </c:pt>
                <c:pt idx="80">
                  <c:v>0.395</c:v>
                </c:pt>
                <c:pt idx="81">
                  <c:v>0.4</c:v>
                </c:pt>
                <c:pt idx="82">
                  <c:v>0.405</c:v>
                </c:pt>
                <c:pt idx="83">
                  <c:v>0.41</c:v>
                </c:pt>
                <c:pt idx="84">
                  <c:v>0.415</c:v>
                </c:pt>
                <c:pt idx="85">
                  <c:v>0.42</c:v>
                </c:pt>
                <c:pt idx="86">
                  <c:v>0.425</c:v>
                </c:pt>
                <c:pt idx="87">
                  <c:v>0.43</c:v>
                </c:pt>
                <c:pt idx="88">
                  <c:v>0.435</c:v>
                </c:pt>
                <c:pt idx="89">
                  <c:v>0.44</c:v>
                </c:pt>
                <c:pt idx="90">
                  <c:v>0.445</c:v>
                </c:pt>
                <c:pt idx="91">
                  <c:v>0.45</c:v>
                </c:pt>
                <c:pt idx="92">
                  <c:v>0.455</c:v>
                </c:pt>
                <c:pt idx="93">
                  <c:v>0.46</c:v>
                </c:pt>
                <c:pt idx="94">
                  <c:v>0.465</c:v>
                </c:pt>
                <c:pt idx="95">
                  <c:v>0.47</c:v>
                </c:pt>
                <c:pt idx="96">
                  <c:v>0.475</c:v>
                </c:pt>
                <c:pt idx="97">
                  <c:v>0.48</c:v>
                </c:pt>
                <c:pt idx="98">
                  <c:v>0.485</c:v>
                </c:pt>
                <c:pt idx="99">
                  <c:v>0.49</c:v>
                </c:pt>
                <c:pt idx="100">
                  <c:v>0.495</c:v>
                </c:pt>
                <c:pt idx="101">
                  <c:v>0.5</c:v>
                </c:pt>
                <c:pt idx="102">
                  <c:v>0.505</c:v>
                </c:pt>
                <c:pt idx="103">
                  <c:v>0.51</c:v>
                </c:pt>
                <c:pt idx="104">
                  <c:v>0.515</c:v>
                </c:pt>
                <c:pt idx="105">
                  <c:v>0.52</c:v>
                </c:pt>
                <c:pt idx="106">
                  <c:v>0.525</c:v>
                </c:pt>
                <c:pt idx="107">
                  <c:v>0.53</c:v>
                </c:pt>
                <c:pt idx="108">
                  <c:v>0.535</c:v>
                </c:pt>
                <c:pt idx="109">
                  <c:v>0.54</c:v>
                </c:pt>
                <c:pt idx="110">
                  <c:v>0.545</c:v>
                </c:pt>
                <c:pt idx="111">
                  <c:v>0.55</c:v>
                </c:pt>
                <c:pt idx="112">
                  <c:v>0.555</c:v>
                </c:pt>
                <c:pt idx="113">
                  <c:v>0.56</c:v>
                </c:pt>
                <c:pt idx="114">
                  <c:v>0.565</c:v>
                </c:pt>
                <c:pt idx="115">
                  <c:v>0.57</c:v>
                </c:pt>
                <c:pt idx="116">
                  <c:v>0.575</c:v>
                </c:pt>
                <c:pt idx="117">
                  <c:v>0.58</c:v>
                </c:pt>
                <c:pt idx="118">
                  <c:v>0.585</c:v>
                </c:pt>
                <c:pt idx="119">
                  <c:v>0.59</c:v>
                </c:pt>
                <c:pt idx="120">
                  <c:v>0.595</c:v>
                </c:pt>
                <c:pt idx="121">
                  <c:v>0.6</c:v>
                </c:pt>
                <c:pt idx="122">
                  <c:v>0.605</c:v>
                </c:pt>
                <c:pt idx="123">
                  <c:v>0.61</c:v>
                </c:pt>
                <c:pt idx="124">
                  <c:v>0.615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0.635</c:v>
                </c:pt>
                <c:pt idx="129">
                  <c:v>0.64</c:v>
                </c:pt>
                <c:pt idx="130">
                  <c:v>0.645</c:v>
                </c:pt>
                <c:pt idx="131">
                  <c:v>0.65</c:v>
                </c:pt>
                <c:pt idx="132">
                  <c:v>0.655</c:v>
                </c:pt>
                <c:pt idx="133">
                  <c:v>0.66</c:v>
                </c:pt>
                <c:pt idx="134">
                  <c:v>0.665</c:v>
                </c:pt>
                <c:pt idx="135">
                  <c:v>0.67</c:v>
                </c:pt>
                <c:pt idx="136">
                  <c:v>0.675</c:v>
                </c:pt>
                <c:pt idx="137">
                  <c:v>0.68</c:v>
                </c:pt>
                <c:pt idx="138">
                  <c:v>0.685</c:v>
                </c:pt>
                <c:pt idx="139">
                  <c:v>0.69</c:v>
                </c:pt>
                <c:pt idx="140">
                  <c:v>0.695</c:v>
                </c:pt>
                <c:pt idx="141">
                  <c:v>0.7</c:v>
                </c:pt>
                <c:pt idx="142">
                  <c:v>0.705</c:v>
                </c:pt>
                <c:pt idx="143">
                  <c:v>0.71</c:v>
                </c:pt>
                <c:pt idx="144">
                  <c:v>0.715</c:v>
                </c:pt>
                <c:pt idx="145">
                  <c:v>0.72</c:v>
                </c:pt>
                <c:pt idx="146">
                  <c:v>0.725</c:v>
                </c:pt>
                <c:pt idx="147">
                  <c:v>0.73</c:v>
                </c:pt>
                <c:pt idx="148">
                  <c:v>0.735</c:v>
                </c:pt>
                <c:pt idx="149">
                  <c:v>0.74</c:v>
                </c:pt>
                <c:pt idx="150">
                  <c:v>0.745</c:v>
                </c:pt>
                <c:pt idx="151">
                  <c:v>0.75</c:v>
                </c:pt>
                <c:pt idx="152">
                  <c:v>0.755</c:v>
                </c:pt>
                <c:pt idx="153">
                  <c:v>0.76</c:v>
                </c:pt>
                <c:pt idx="154">
                  <c:v>0.765</c:v>
                </c:pt>
                <c:pt idx="155">
                  <c:v>0.77</c:v>
                </c:pt>
                <c:pt idx="156">
                  <c:v>0.775</c:v>
                </c:pt>
                <c:pt idx="157">
                  <c:v>0.78</c:v>
                </c:pt>
                <c:pt idx="158">
                  <c:v>0.785</c:v>
                </c:pt>
                <c:pt idx="159">
                  <c:v>0.79</c:v>
                </c:pt>
                <c:pt idx="160">
                  <c:v>0.795</c:v>
                </c:pt>
                <c:pt idx="161">
                  <c:v>0.8</c:v>
                </c:pt>
                <c:pt idx="162">
                  <c:v>0.805</c:v>
                </c:pt>
                <c:pt idx="163">
                  <c:v>0.81</c:v>
                </c:pt>
                <c:pt idx="164">
                  <c:v>0.815</c:v>
                </c:pt>
                <c:pt idx="165">
                  <c:v>0.82</c:v>
                </c:pt>
                <c:pt idx="166">
                  <c:v>0.825</c:v>
                </c:pt>
                <c:pt idx="167">
                  <c:v>0.83</c:v>
                </c:pt>
                <c:pt idx="168">
                  <c:v>0.835</c:v>
                </c:pt>
                <c:pt idx="169">
                  <c:v>0.84</c:v>
                </c:pt>
                <c:pt idx="170">
                  <c:v>0.845</c:v>
                </c:pt>
                <c:pt idx="171">
                  <c:v>0.85</c:v>
                </c:pt>
                <c:pt idx="172">
                  <c:v>0.855</c:v>
                </c:pt>
                <c:pt idx="173">
                  <c:v>0.86</c:v>
                </c:pt>
                <c:pt idx="174">
                  <c:v>0.865</c:v>
                </c:pt>
                <c:pt idx="175">
                  <c:v>0.87</c:v>
                </c:pt>
                <c:pt idx="176">
                  <c:v>0.875</c:v>
                </c:pt>
                <c:pt idx="177">
                  <c:v>0.88</c:v>
                </c:pt>
                <c:pt idx="178">
                  <c:v>0.885</c:v>
                </c:pt>
                <c:pt idx="179">
                  <c:v>0.89</c:v>
                </c:pt>
                <c:pt idx="180">
                  <c:v>0.895</c:v>
                </c:pt>
                <c:pt idx="181">
                  <c:v>0.9</c:v>
                </c:pt>
                <c:pt idx="182">
                  <c:v>0.905</c:v>
                </c:pt>
                <c:pt idx="183">
                  <c:v>0.91</c:v>
                </c:pt>
                <c:pt idx="184">
                  <c:v>0.915</c:v>
                </c:pt>
                <c:pt idx="185">
                  <c:v>0.92</c:v>
                </c:pt>
                <c:pt idx="186">
                  <c:v>0.925</c:v>
                </c:pt>
                <c:pt idx="187">
                  <c:v>0.93</c:v>
                </c:pt>
                <c:pt idx="188">
                  <c:v>0.935</c:v>
                </c:pt>
                <c:pt idx="189">
                  <c:v>0.94</c:v>
                </c:pt>
                <c:pt idx="190">
                  <c:v>0.945</c:v>
                </c:pt>
                <c:pt idx="191">
                  <c:v>0.95</c:v>
                </c:pt>
                <c:pt idx="192">
                  <c:v>0.955</c:v>
                </c:pt>
                <c:pt idx="193">
                  <c:v>0.96</c:v>
                </c:pt>
                <c:pt idx="194">
                  <c:v>0.965</c:v>
                </c:pt>
                <c:pt idx="195">
                  <c:v>0.97</c:v>
                </c:pt>
                <c:pt idx="196">
                  <c:v>0.975</c:v>
                </c:pt>
                <c:pt idx="197">
                  <c:v>0.98</c:v>
                </c:pt>
                <c:pt idx="198">
                  <c:v>0.985</c:v>
                </c:pt>
                <c:pt idx="199">
                  <c:v>0.99</c:v>
                </c:pt>
                <c:pt idx="200">
                  <c:v>0.995</c:v>
                </c:pt>
                <c:pt idx="201">
                  <c:v>1</c:v>
                </c:pt>
              </c:numCache>
            </c:numRef>
          </c:xVal>
          <c:yVal>
            <c:numRef>
              <c:f>ROC_data!$L$2:$L$203</c:f>
              <c:numCache>
                <c:formatCode>General</c:formatCode>
                <c:ptCount val="20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Fig9_FAV_Fusion!$G$21</c:f>
              <c:strCache>
                <c:ptCount val="1"/>
                <c:pt idx="0">
                  <c:v>Random (0.500)</c:v>
                </c:pt>
              </c:strCache>
            </c:strRef>
          </c:tx>
          <c:spPr>
            <a:solidFill>
              <a:srgbClr val="808080"/>
            </a:solidFill>
            <a:ln w="1584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84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ROC_data!$U$2:$U$3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ROC_data!$V$2:$V$3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</c:ser>
        <c:axId val="70177376"/>
        <c:axId val="42204001"/>
      </c:scatterChart>
      <c:valAx>
        <c:axId val="70177376"/>
        <c:scaling>
          <c:orientation val="minMax"/>
          <c:max val="1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404040"/>
                    </a:solidFill>
                    <a:uFillTx/>
                    <a:latin typeface="Calibri"/>
                  </a:rPr>
                  <a:t>False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42204001"/>
        <c:crosses val="autoZero"/>
        <c:crossBetween val="midCat"/>
        <c:majorUnit val="0.2"/>
      </c:valAx>
      <c:valAx>
        <c:axId val="4220400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404040"/>
                    </a:solidFill>
                    <a:uFillTx/>
                    <a:latin typeface="Calibri"/>
                  </a:rPr>
                  <a:t>True Positive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70177376"/>
        <c:crosses val="autoZero"/>
        <c:crossBetween val="midCat"/>
        <c:majorUnit val="0.2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6480">
          <a:solidFill>
            <a:srgbClr val="BFBFBF"/>
          </a:solidFill>
          <a:round/>
        </a:ln>
      </c:spPr>
      <c:txPr>
        <a:bodyPr/>
        <a:lstStyle/>
        <a:p>
          <a:pPr>
            <a:defRPr sz="900" b="0" u="none" strike="noStrike">
              <a:solidFill>
                <a:srgbClr val="40404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100" b="1" u="none" strike="noStrike">
                <a:solidFill>
                  <a:srgbClr val="262626"/>
                </a:solidFill>
                <a:uFillTx/>
                <a:latin typeface="Calibri"/>
              </a:rPr>
              <a:t>Per-frame inference latency by stage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900" b="0" u="none" strike="noStrike">
                <a:solidFill>
                  <a:srgbClr val="262626"/>
                </a:solidFill>
                <a:uFillTx/>
                <a:latin typeface="Calibri"/>
              </a:rPr>
              <a:t>(CPU only, single thread)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Fig10_Latency!$C$2</c:f>
              <c:strCache>
                <c:ptCount val="1"/>
                <c:pt idx="0">
                  <c:v>Mean (ms)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2E75B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2E75B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Fig10_Latency!$B$3:$B$6</c:f>
              <c:strCache>
                <c:ptCount val="4"/>
                <c:pt idx="0">
                  <c:v>Image loading</c:v>
                </c:pt>
                <c:pt idx="1">
                  <c:v>Preprocessing</c:v>
                </c:pt>
                <c:pt idx="2">
                  <c:v>SVM decision</c:v>
                </c:pt>
                <c:pt idx="3">
                  <c:v>EfficientNetV2-S forward pass</c:v>
                </c:pt>
              </c:strCache>
            </c:strRef>
          </c:cat>
          <c:val>
            <c:numRef>
              <c:f>Fig10_Latency!$C$3:$C$6</c:f>
              <c:numCache>
                <c:formatCode>General</c:formatCode>
                <c:ptCount val="4"/>
                <c:pt idx="0">
                  <c:v>2.87</c:v>
                </c:pt>
                <c:pt idx="1">
                  <c:v>1.26</c:v>
                </c:pt>
                <c:pt idx="2">
                  <c:v>2.34</c:v>
                </c:pt>
                <c:pt idx="3">
                  <c:v>188.92</c:v>
                </c:pt>
              </c:numCache>
            </c:numRef>
          </c:val>
        </c:ser>
        <c:gapWidth val="150"/>
        <c:overlap val="0"/>
        <c:axId val="35852241"/>
        <c:axId val="17643824"/>
      </c:barChart>
      <c:catAx>
        <c:axId val="35852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17643824"/>
        <c:crosses val="autoZero"/>
        <c:auto val="1"/>
        <c:lblAlgn val="ctr"/>
        <c:lblOffset val="100"/>
        <c:noMultiLvlLbl val="0"/>
      </c:catAx>
      <c:valAx>
        <c:axId val="17643824"/>
        <c:scaling>
          <c:orientation val="minMax"/>
          <c:max val="200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Latency per frame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404040"/>
                </a:solidFill>
                <a:uFillTx/>
                <a:latin typeface="Calibri"/>
              </a:defRPr>
            </a:pPr>
          </a:p>
        </c:txPr>
        <c:crossAx val="35852241"/>
        <c:crosses val="autoZero"/>
        <c:crossBetween val="between"/>
        <c:majorUnit val="50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12</xdr:col>
      <xdr:colOff>255240</xdr:colOff>
      <xdr:row>7</xdr:row>
      <xdr:rowOff>126000</xdr:rowOff>
    </xdr:to>
    <xdr:graphicFrame>
      <xdr:nvGraphicFramePr>
        <xdr:cNvPr id="1" name="Chart 1"/>
        <xdr:cNvGraphicFramePr/>
      </xdr:nvGraphicFramePr>
      <xdr:xfrm>
        <a:off x="3735720" y="0"/>
        <a:ext cx="453564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12</xdr:col>
      <xdr:colOff>255240</xdr:colOff>
      <xdr:row>7</xdr:row>
      <xdr:rowOff>126000</xdr:rowOff>
    </xdr:to>
    <xdr:graphicFrame>
      <xdr:nvGraphicFramePr>
        <xdr:cNvPr id="2" name="Chart 1"/>
        <xdr:cNvGraphicFramePr/>
      </xdr:nvGraphicFramePr>
      <xdr:xfrm>
        <a:off x="3735720" y="0"/>
        <a:ext cx="453564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12</xdr:col>
      <xdr:colOff>255240</xdr:colOff>
      <xdr:row>7</xdr:row>
      <xdr:rowOff>126000</xdr:rowOff>
    </xdr:to>
    <xdr:graphicFrame>
      <xdr:nvGraphicFramePr>
        <xdr:cNvPr id="3" name="Chart 1"/>
        <xdr:cNvGraphicFramePr/>
      </xdr:nvGraphicFramePr>
      <xdr:xfrm>
        <a:off x="3735720" y="0"/>
        <a:ext cx="453564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12</xdr:col>
      <xdr:colOff>255240</xdr:colOff>
      <xdr:row>7</xdr:row>
      <xdr:rowOff>126000</xdr:rowOff>
    </xdr:to>
    <xdr:graphicFrame>
      <xdr:nvGraphicFramePr>
        <xdr:cNvPr id="4" name="Chart 1"/>
        <xdr:cNvGraphicFramePr/>
      </xdr:nvGraphicFramePr>
      <xdr:xfrm>
        <a:off x="3735720" y="0"/>
        <a:ext cx="453564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12</xdr:col>
      <xdr:colOff>255240</xdr:colOff>
      <xdr:row>7</xdr:row>
      <xdr:rowOff>126000</xdr:rowOff>
    </xdr:to>
    <xdr:graphicFrame>
      <xdr:nvGraphicFramePr>
        <xdr:cNvPr id="5" name="Chart 1"/>
        <xdr:cNvGraphicFramePr/>
      </xdr:nvGraphicFramePr>
      <xdr:xfrm>
        <a:off x="3735720" y="0"/>
        <a:ext cx="453564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12</xdr:col>
      <xdr:colOff>255240</xdr:colOff>
      <xdr:row>7</xdr:row>
      <xdr:rowOff>126000</xdr:rowOff>
    </xdr:to>
    <xdr:graphicFrame>
      <xdr:nvGraphicFramePr>
        <xdr:cNvPr id="6" name="Chart 1"/>
        <xdr:cNvGraphicFramePr/>
      </xdr:nvGraphicFramePr>
      <xdr:xfrm>
        <a:off x="3735720" y="0"/>
        <a:ext cx="453564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13</xdr:col>
      <xdr:colOff>256320</xdr:colOff>
      <xdr:row>15</xdr:row>
      <xdr:rowOff>32400</xdr:rowOff>
    </xdr:to>
    <xdr:graphicFrame>
      <xdr:nvGraphicFramePr>
        <xdr:cNvPr id="7" name="Chart 1"/>
        <xdr:cNvGraphicFramePr/>
      </xdr:nvGraphicFramePr>
      <xdr:xfrm>
        <a:off x="4183560" y="190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3"/>
  <sheetViews>
    <sheetView showFormulas="false" showGridLines="true" showRowColHeaders="true" showZeros="true" rightToLeft="false" tabSelected="false" showOutlineSymbols="true" defaultGridColor="true" view="normal" topLeftCell="A202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1"/>
    <col collapsed="false" customWidth="true" hidden="false" outlineLevel="0" max="13" min="13" style="0" width="2"/>
    <col collapsed="false" customWidth="true" hidden="false" outlineLevel="0" max="14" min="14" style="0" width="28"/>
    <col collapsed="false" customWidth="true" hidden="false" outlineLevel="0" max="19" min="15" style="0" width="8"/>
    <col collapsed="false" customWidth="true" hidden="false" outlineLevel="0" max="22" min="21" style="0" width="1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U1" s="0" t="s">
        <v>18</v>
      </c>
      <c r="V1" s="0" t="s">
        <v>19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N2" s="0" t="s">
        <v>20</v>
      </c>
      <c r="O2" s="0" t="n">
        <v>2548</v>
      </c>
      <c r="P2" s="0" t="n">
        <v>251</v>
      </c>
      <c r="Q2" s="0" t="n">
        <v>499</v>
      </c>
      <c r="R2" s="0" t="n">
        <v>13498</v>
      </c>
      <c r="S2" s="0" t="n">
        <v>0.9848</v>
      </c>
      <c r="U2" s="0" t="n">
        <v>0</v>
      </c>
      <c r="V2" s="0" t="n">
        <v>0</v>
      </c>
    </row>
    <row r="3" customFormat="false" ht="15" hidden="false" customHeight="false" outlineLevel="0" collapsed="false">
      <c r="A3" s="0" t="n">
        <v>0</v>
      </c>
      <c r="B3" s="0" t="n">
        <v>0.285418303922269</v>
      </c>
      <c r="C3" s="0" t="n">
        <v>0</v>
      </c>
      <c r="D3" s="0" t="n">
        <v>0.00308823529411765</v>
      </c>
      <c r="E3" s="0" t="n">
        <v>0</v>
      </c>
      <c r="F3" s="0" t="n">
        <v>0.173585673585674</v>
      </c>
      <c r="G3" s="0" t="n">
        <v>0</v>
      </c>
      <c r="H3" s="0" t="n">
        <v>1</v>
      </c>
      <c r="I3" s="0" t="n">
        <v>0</v>
      </c>
      <c r="J3" s="0" t="n">
        <v>0.666666666666667</v>
      </c>
      <c r="K3" s="0" t="n">
        <v>0</v>
      </c>
      <c r="L3" s="0" t="n">
        <v>1</v>
      </c>
      <c r="N3" s="0" t="s">
        <v>21</v>
      </c>
      <c r="O3" s="0" t="n">
        <v>1225</v>
      </c>
      <c r="P3" s="0" t="n">
        <v>2332</v>
      </c>
      <c r="Q3" s="0" t="n">
        <v>1242</v>
      </c>
      <c r="R3" s="0" t="n">
        <v>5558</v>
      </c>
      <c r="S3" s="0" t="n">
        <v>0.6589</v>
      </c>
      <c r="U3" s="0" t="n">
        <v>1</v>
      </c>
      <c r="V3" s="0" t="n">
        <v>1</v>
      </c>
    </row>
    <row r="4" customFormat="false" ht="15" hidden="false" customHeight="false" outlineLevel="0" collapsed="false">
      <c r="A4" s="0" t="n">
        <v>0.005</v>
      </c>
      <c r="B4" s="0" t="n">
        <v>0.779309852111167</v>
      </c>
      <c r="C4" s="0" t="n">
        <v>0.005</v>
      </c>
      <c r="D4" s="0" t="n">
        <v>0.0332352941176471</v>
      </c>
      <c r="E4" s="0" t="n">
        <v>0.005</v>
      </c>
      <c r="F4" s="0" t="n">
        <v>0.434676434676435</v>
      </c>
      <c r="G4" s="0" t="n">
        <v>0.005</v>
      </c>
      <c r="H4" s="0" t="n">
        <v>1</v>
      </c>
      <c r="I4" s="0" t="n">
        <v>0.005</v>
      </c>
      <c r="J4" s="0" t="n">
        <v>0.666666666666667</v>
      </c>
      <c r="K4" s="0" t="n">
        <v>0.005</v>
      </c>
      <c r="L4" s="0" t="n">
        <v>1</v>
      </c>
      <c r="N4" s="0" t="s">
        <v>22</v>
      </c>
      <c r="O4" s="0" t="n">
        <v>6139</v>
      </c>
      <c r="P4" s="0" t="n">
        <v>1216</v>
      </c>
      <c r="Q4" s="0" t="n">
        <v>10580</v>
      </c>
      <c r="R4" s="0" t="n">
        <v>53302</v>
      </c>
      <c r="S4" s="0" t="n">
        <v>0.9186</v>
      </c>
    </row>
    <row r="5" customFormat="false" ht="15" hidden="false" customHeight="false" outlineLevel="0" collapsed="false">
      <c r="A5" s="0" t="n">
        <v>0.01</v>
      </c>
      <c r="B5" s="0" t="n">
        <v>0.838679717082232</v>
      </c>
      <c r="C5" s="0" t="n">
        <v>0.01</v>
      </c>
      <c r="D5" s="0" t="n">
        <v>0.0548529411764706</v>
      </c>
      <c r="E5" s="0" t="n">
        <v>0.01</v>
      </c>
      <c r="F5" s="0" t="n">
        <v>0.493628878244263</v>
      </c>
      <c r="G5" s="0" t="n">
        <v>0.01</v>
      </c>
      <c r="H5" s="0" t="n">
        <v>1</v>
      </c>
      <c r="I5" s="0" t="n">
        <v>0.01</v>
      </c>
      <c r="J5" s="0" t="n">
        <v>0.743589743589744</v>
      </c>
      <c r="K5" s="0" t="n">
        <v>0.01</v>
      </c>
      <c r="L5" s="0" t="n">
        <v>1</v>
      </c>
      <c r="N5" s="0" t="s">
        <v>23</v>
      </c>
      <c r="O5" s="0" t="n">
        <v>86</v>
      </c>
      <c r="P5" s="0" t="n">
        <v>0</v>
      </c>
      <c r="Q5" s="0" t="n">
        <v>1</v>
      </c>
      <c r="R5" s="0" t="n">
        <v>56</v>
      </c>
      <c r="S5" s="0" t="n">
        <v>1</v>
      </c>
    </row>
    <row r="6" customFormat="false" ht="15" hidden="false" customHeight="false" outlineLevel="0" collapsed="false">
      <c r="A6" s="0" t="n">
        <v>0.015</v>
      </c>
      <c r="B6" s="0" t="n">
        <v>0.877616632135458</v>
      </c>
      <c r="C6" s="0" t="n">
        <v>0.015</v>
      </c>
      <c r="D6" s="0" t="n">
        <v>0.0810294117647059</v>
      </c>
      <c r="E6" s="0" t="n">
        <v>0.015</v>
      </c>
      <c r="F6" s="0" t="n">
        <v>0.55265959112113</v>
      </c>
      <c r="G6" s="0" t="n">
        <v>0.015</v>
      </c>
      <c r="H6" s="0" t="n">
        <v>1</v>
      </c>
      <c r="I6" s="0" t="n">
        <v>0.015</v>
      </c>
      <c r="J6" s="0" t="n">
        <v>0.743589743589744</v>
      </c>
      <c r="K6" s="0" t="n">
        <v>0.015</v>
      </c>
      <c r="L6" s="0" t="n">
        <v>1</v>
      </c>
      <c r="N6" s="0" t="s">
        <v>24</v>
      </c>
      <c r="O6" s="0" t="n">
        <v>102</v>
      </c>
      <c r="P6" s="0" t="n">
        <v>2</v>
      </c>
      <c r="Q6" s="0" t="n">
        <v>1</v>
      </c>
      <c r="R6" s="0" t="n">
        <v>38</v>
      </c>
      <c r="S6" s="0" t="n">
        <v>0.9884</v>
      </c>
    </row>
    <row r="7" customFormat="false" ht="15" hidden="false" customHeight="false" outlineLevel="0" collapsed="false">
      <c r="A7" s="0" t="n">
        <v>0.02</v>
      </c>
      <c r="B7" s="0" t="n">
        <v>0.901836107737372</v>
      </c>
      <c r="C7" s="0" t="n">
        <v>0.02</v>
      </c>
      <c r="D7" s="0" t="n">
        <v>0.0966176470588235</v>
      </c>
      <c r="E7" s="0" t="n">
        <v>0.02</v>
      </c>
      <c r="F7" s="0" t="n">
        <v>0.586675432829279</v>
      </c>
      <c r="G7" s="0" t="n">
        <v>0.02</v>
      </c>
      <c r="H7" s="0" t="n">
        <v>1</v>
      </c>
      <c r="I7" s="0" t="n">
        <v>0.02</v>
      </c>
      <c r="J7" s="0" t="n">
        <v>0.974358974358974</v>
      </c>
      <c r="K7" s="0" t="n">
        <v>0.02</v>
      </c>
      <c r="L7" s="0" t="n">
        <v>1</v>
      </c>
      <c r="N7" s="0" t="s">
        <v>25</v>
      </c>
      <c r="O7" s="0" t="n">
        <v>86</v>
      </c>
      <c r="P7" s="0" t="n">
        <v>0</v>
      </c>
      <c r="Q7" s="0" t="n">
        <v>1</v>
      </c>
      <c r="R7" s="0" t="n">
        <v>56</v>
      </c>
      <c r="S7" s="0" t="n">
        <v>1</v>
      </c>
    </row>
    <row r="8" customFormat="false" ht="15" hidden="false" customHeight="false" outlineLevel="0" collapsed="false">
      <c r="A8" s="0" t="n">
        <v>0.025</v>
      </c>
      <c r="B8" s="0" t="n">
        <v>0.914410230763735</v>
      </c>
      <c r="C8" s="0" t="n">
        <v>0.025</v>
      </c>
      <c r="D8" s="0" t="n">
        <v>0.109558823529412</v>
      </c>
      <c r="E8" s="0" t="n">
        <v>0.025</v>
      </c>
      <c r="F8" s="0" t="n">
        <v>0.616010769856924</v>
      </c>
      <c r="G8" s="0" t="n">
        <v>0.025</v>
      </c>
      <c r="H8" s="0" t="n">
        <v>1</v>
      </c>
      <c r="I8" s="0" t="n">
        <v>0.025</v>
      </c>
      <c r="J8" s="0" t="n">
        <v>0.974358974358974</v>
      </c>
      <c r="K8" s="0" t="n">
        <v>0.025</v>
      </c>
      <c r="L8" s="0" t="n">
        <v>1</v>
      </c>
    </row>
    <row r="9" customFormat="false" ht="15" hidden="false" customHeight="false" outlineLevel="0" collapsed="false">
      <c r="A9" s="0" t="n">
        <v>0.03</v>
      </c>
      <c r="B9" s="0" t="n">
        <v>0.925841251696792</v>
      </c>
      <c r="C9" s="0" t="n">
        <v>0.03</v>
      </c>
      <c r="D9" s="0" t="n">
        <v>0.115735294117647</v>
      </c>
      <c r="E9" s="0" t="n">
        <v>0.03</v>
      </c>
      <c r="F9" s="0" t="n">
        <v>0.634451019066404</v>
      </c>
      <c r="G9" s="0" t="n">
        <v>0.03</v>
      </c>
      <c r="H9" s="0" t="n">
        <v>1</v>
      </c>
      <c r="I9" s="0" t="n">
        <v>0.03</v>
      </c>
      <c r="J9" s="0" t="n">
        <v>0.974358974358974</v>
      </c>
      <c r="K9" s="0" t="n">
        <v>0.03</v>
      </c>
      <c r="L9" s="0" t="n">
        <v>1</v>
      </c>
      <c r="N9" s="2" t="s">
        <v>26</v>
      </c>
    </row>
    <row r="10" customFormat="false" ht="15" hidden="false" customHeight="false" outlineLevel="0" collapsed="false">
      <c r="A10" s="0" t="n">
        <v>0.035</v>
      </c>
      <c r="B10" s="0" t="n">
        <v>0.933842966349932</v>
      </c>
      <c r="C10" s="0" t="n">
        <v>0.035</v>
      </c>
      <c r="D10" s="0" t="n">
        <v>0.127794117647059</v>
      </c>
      <c r="E10" s="0" t="n">
        <v>0.035</v>
      </c>
      <c r="F10" s="0" t="n">
        <v>0.652515575592499</v>
      </c>
      <c r="G10" s="0" t="n">
        <v>0.035</v>
      </c>
      <c r="H10" s="0" t="n">
        <v>1</v>
      </c>
      <c r="I10" s="0" t="n">
        <v>0.035</v>
      </c>
      <c r="J10" s="0" t="n">
        <v>0.974358974358974</v>
      </c>
      <c r="K10" s="0" t="n">
        <v>0.035</v>
      </c>
      <c r="L10" s="0" t="n">
        <v>1</v>
      </c>
      <c r="N10" s="3" t="s">
        <v>27</v>
      </c>
    </row>
    <row r="11" customFormat="false" ht="15" hidden="false" customHeight="false" outlineLevel="0" collapsed="false">
      <c r="A11" s="0" t="n">
        <v>0.04</v>
      </c>
      <c r="B11" s="0" t="n">
        <v>0.940487247267272</v>
      </c>
      <c r="C11" s="0" t="n">
        <v>0.04</v>
      </c>
      <c r="D11" s="0" t="n">
        <v>0.138382352941177</v>
      </c>
      <c r="E11" s="0" t="n">
        <v>0.04</v>
      </c>
      <c r="F11" s="0" t="n">
        <v>0.668059860367553</v>
      </c>
      <c r="G11" s="0" t="n">
        <v>0.04</v>
      </c>
      <c r="H11" s="0" t="n">
        <v>1</v>
      </c>
      <c r="I11" s="0" t="n">
        <v>0.04</v>
      </c>
      <c r="J11" s="0" t="n">
        <v>0.974358974358974</v>
      </c>
      <c r="K11" s="0" t="n">
        <v>0.04</v>
      </c>
      <c r="L11" s="0" t="n">
        <v>1</v>
      </c>
    </row>
    <row r="12" customFormat="false" ht="15" hidden="false" customHeight="false" outlineLevel="0" collapsed="false">
      <c r="A12" s="0" t="n">
        <v>0.045</v>
      </c>
      <c r="B12" s="0" t="n">
        <v>0.944988211759663</v>
      </c>
      <c r="C12" s="0" t="n">
        <v>0.045</v>
      </c>
      <c r="D12" s="0" t="n">
        <v>0.151323529411765</v>
      </c>
      <c r="E12" s="0" t="n">
        <v>0.045</v>
      </c>
      <c r="F12" s="0" t="n">
        <v>0.67839140916064</v>
      </c>
      <c r="G12" s="0" t="n">
        <v>0.045</v>
      </c>
      <c r="H12" s="0" t="n">
        <v>1</v>
      </c>
      <c r="I12" s="0" t="n">
        <v>0.045</v>
      </c>
      <c r="J12" s="0" t="n">
        <v>0.974358974358974</v>
      </c>
      <c r="K12" s="0" t="n">
        <v>0.045</v>
      </c>
      <c r="L12" s="0" t="n">
        <v>1</v>
      </c>
    </row>
    <row r="13" customFormat="false" ht="15" hidden="false" customHeight="false" outlineLevel="0" collapsed="false">
      <c r="A13" s="0" t="n">
        <v>0.05</v>
      </c>
      <c r="B13" s="0" t="n">
        <v>0.949060512967064</v>
      </c>
      <c r="C13" s="0" t="n">
        <v>0.05</v>
      </c>
      <c r="D13" s="0" t="n">
        <v>0.162941176470588</v>
      </c>
      <c r="E13" s="0" t="n">
        <v>0.05</v>
      </c>
      <c r="F13" s="0" t="n">
        <v>0.687768072383457</v>
      </c>
      <c r="G13" s="0" t="n">
        <v>0.05</v>
      </c>
      <c r="H13" s="0" t="n">
        <v>1</v>
      </c>
      <c r="I13" s="0" t="n">
        <v>0.05</v>
      </c>
      <c r="J13" s="0" t="n">
        <v>0.974358974358974</v>
      </c>
      <c r="K13" s="0" t="n">
        <v>0.05</v>
      </c>
      <c r="L13" s="0" t="n">
        <v>1</v>
      </c>
    </row>
    <row r="14" customFormat="false" ht="15" hidden="false" customHeight="false" outlineLevel="0" collapsed="false">
      <c r="A14" s="0" t="n">
        <v>0.055</v>
      </c>
      <c r="B14" s="0" t="n">
        <v>0.953704365221119</v>
      </c>
      <c r="C14" s="0" t="n">
        <v>0.055</v>
      </c>
      <c r="D14" s="0" t="n">
        <v>0.171323529411765</v>
      </c>
      <c r="E14" s="0" t="n">
        <v>0.055</v>
      </c>
      <c r="F14" s="0" t="n">
        <v>0.701183431952663</v>
      </c>
      <c r="G14" s="0" t="n">
        <v>0.055</v>
      </c>
      <c r="H14" s="0" t="n">
        <v>1</v>
      </c>
      <c r="I14" s="0" t="n">
        <v>0.055</v>
      </c>
      <c r="J14" s="0" t="n">
        <v>0.974358974358974</v>
      </c>
      <c r="K14" s="0" t="n">
        <v>0.055</v>
      </c>
      <c r="L14" s="0" t="n">
        <v>1</v>
      </c>
    </row>
    <row r="15" customFormat="false" ht="15" hidden="false" customHeight="false" outlineLevel="0" collapsed="false">
      <c r="A15" s="0" t="n">
        <v>0.06</v>
      </c>
      <c r="B15" s="0" t="n">
        <v>0.954847467314425</v>
      </c>
      <c r="C15" s="0" t="n">
        <v>0.06</v>
      </c>
      <c r="D15" s="0" t="n">
        <v>0.181764705882353</v>
      </c>
      <c r="E15" s="0" t="n">
        <v>0.06</v>
      </c>
      <c r="F15" s="0" t="n">
        <v>0.711828057981904</v>
      </c>
      <c r="G15" s="0" t="n">
        <v>0.06</v>
      </c>
      <c r="H15" s="0" t="n">
        <v>1</v>
      </c>
      <c r="I15" s="0" t="n">
        <v>0.06</v>
      </c>
      <c r="J15" s="0" t="n">
        <v>0.974358974358974</v>
      </c>
      <c r="K15" s="0" t="n">
        <v>0.06</v>
      </c>
      <c r="L15" s="0" t="n">
        <v>1</v>
      </c>
    </row>
    <row r="16" customFormat="false" ht="15" hidden="false" customHeight="false" outlineLevel="0" collapsed="false">
      <c r="A16" s="0" t="n">
        <v>0.065</v>
      </c>
      <c r="B16" s="0" t="n">
        <v>0.957633778666857</v>
      </c>
      <c r="C16" s="0" t="n">
        <v>0.065</v>
      </c>
      <c r="D16" s="0" t="n">
        <v>0.194852941176471</v>
      </c>
      <c r="E16" s="0" t="n">
        <v>0.065</v>
      </c>
      <c r="F16" s="0" t="n">
        <v>0.721361259822798</v>
      </c>
      <c r="G16" s="0" t="n">
        <v>0.065</v>
      </c>
      <c r="H16" s="0" t="n">
        <v>1</v>
      </c>
      <c r="I16" s="0" t="n">
        <v>0.065</v>
      </c>
      <c r="J16" s="0" t="n">
        <v>0.974358974358974</v>
      </c>
      <c r="K16" s="0" t="n">
        <v>0.065</v>
      </c>
      <c r="L16" s="0" t="n">
        <v>1</v>
      </c>
    </row>
    <row r="17" customFormat="false" ht="15" hidden="false" customHeight="false" outlineLevel="0" collapsed="false">
      <c r="A17" s="0" t="n">
        <v>0.07</v>
      </c>
      <c r="B17" s="0" t="n">
        <v>0.958919768521826</v>
      </c>
      <c r="C17" s="0" t="n">
        <v>0.07</v>
      </c>
      <c r="D17" s="0" t="n">
        <v>0.203823529411765</v>
      </c>
      <c r="E17" s="0" t="n">
        <v>0.07</v>
      </c>
      <c r="F17" s="0" t="n">
        <v>0.728358536050844</v>
      </c>
      <c r="G17" s="0" t="n">
        <v>0.07</v>
      </c>
      <c r="H17" s="0" t="n">
        <v>1</v>
      </c>
      <c r="I17" s="0" t="n">
        <v>0.07</v>
      </c>
      <c r="J17" s="0" t="n">
        <v>0.974358974358974</v>
      </c>
      <c r="K17" s="0" t="n">
        <v>0.07</v>
      </c>
      <c r="L17" s="0" t="n">
        <v>1</v>
      </c>
    </row>
    <row r="18" customFormat="false" ht="15" hidden="false" customHeight="false" outlineLevel="0" collapsed="false">
      <c r="A18" s="0" t="n">
        <v>0.075</v>
      </c>
      <c r="B18" s="0" t="n">
        <v>0.960562977780953</v>
      </c>
      <c r="C18" s="0" t="n">
        <v>0.075</v>
      </c>
      <c r="D18" s="0" t="n">
        <v>0.213088235294118</v>
      </c>
      <c r="E18" s="0" t="n">
        <v>0.075</v>
      </c>
      <c r="F18" s="0" t="n">
        <v>0.740114586268432</v>
      </c>
      <c r="G18" s="0" t="n">
        <v>0.075</v>
      </c>
      <c r="H18" s="0" t="n">
        <v>1</v>
      </c>
      <c r="I18" s="0" t="n">
        <v>0.075</v>
      </c>
      <c r="J18" s="0" t="n">
        <v>0.974358974358974</v>
      </c>
      <c r="K18" s="0" t="n">
        <v>0.075</v>
      </c>
      <c r="L18" s="0" t="n">
        <v>1</v>
      </c>
    </row>
    <row r="19" customFormat="false" ht="15" hidden="false" customHeight="false" outlineLevel="0" collapsed="false">
      <c r="A19" s="0" t="n">
        <v>0.08</v>
      </c>
      <c r="B19" s="0" t="n">
        <v>0.961420304350932</v>
      </c>
      <c r="C19" s="0" t="n">
        <v>0.08</v>
      </c>
      <c r="D19" s="0" t="n">
        <v>0.219852941176471</v>
      </c>
      <c r="E19" s="0" t="n">
        <v>0.08</v>
      </c>
      <c r="F19" s="0" t="n">
        <v>0.747252747252747</v>
      </c>
      <c r="G19" s="0" t="n">
        <v>0.08</v>
      </c>
      <c r="H19" s="0" t="n">
        <v>1</v>
      </c>
      <c r="I19" s="0" t="n">
        <v>0.08</v>
      </c>
      <c r="J19" s="0" t="n">
        <v>0.974358974358974</v>
      </c>
      <c r="K19" s="0" t="n">
        <v>0.08</v>
      </c>
      <c r="L19" s="0" t="n">
        <v>1</v>
      </c>
    </row>
    <row r="20" customFormat="false" ht="15" hidden="false" customHeight="false" outlineLevel="0" collapsed="false">
      <c r="A20" s="0" t="n">
        <v>0.085</v>
      </c>
      <c r="B20" s="0" t="n">
        <v>0.962992069729228</v>
      </c>
      <c r="C20" s="0" t="n">
        <v>0.085</v>
      </c>
      <c r="D20" s="0" t="n">
        <v>0.230588235294118</v>
      </c>
      <c r="E20" s="0" t="n">
        <v>0.085</v>
      </c>
      <c r="F20" s="0" t="n">
        <v>0.753936946244639</v>
      </c>
      <c r="G20" s="0" t="n">
        <v>0.085</v>
      </c>
      <c r="H20" s="0" t="n">
        <v>1</v>
      </c>
      <c r="I20" s="0" t="n">
        <v>0.085</v>
      </c>
      <c r="J20" s="0" t="n">
        <v>0.974358974358974</v>
      </c>
      <c r="K20" s="0" t="n">
        <v>0.085</v>
      </c>
      <c r="L20" s="0" t="n">
        <v>1</v>
      </c>
    </row>
    <row r="21" customFormat="false" ht="15" hidden="false" customHeight="false" outlineLevel="0" collapsed="false">
      <c r="A21" s="0" t="n">
        <v>0.09</v>
      </c>
      <c r="B21" s="0" t="n">
        <v>0.96442094734586</v>
      </c>
      <c r="C21" s="0" t="n">
        <v>0.09</v>
      </c>
      <c r="D21" s="0" t="n">
        <v>0.239558823529412</v>
      </c>
      <c r="E21" s="0" t="n">
        <v>0.09</v>
      </c>
      <c r="F21" s="0" t="n">
        <v>0.760026298487837</v>
      </c>
      <c r="G21" s="0" t="n">
        <v>0.09</v>
      </c>
      <c r="H21" s="0" t="n">
        <v>1</v>
      </c>
      <c r="I21" s="0" t="n">
        <v>0.09</v>
      </c>
      <c r="J21" s="0" t="n">
        <v>0.974358974358974</v>
      </c>
      <c r="K21" s="0" t="n">
        <v>0.09</v>
      </c>
      <c r="L21" s="0" t="n">
        <v>1</v>
      </c>
    </row>
    <row r="22" customFormat="false" ht="15" hidden="false" customHeight="false" outlineLevel="0" collapsed="false">
      <c r="A22" s="0" t="n">
        <v>0.095</v>
      </c>
      <c r="B22" s="0" t="n">
        <v>0.966064156604987</v>
      </c>
      <c r="C22" s="0" t="n">
        <v>0.095</v>
      </c>
      <c r="D22" s="0" t="n">
        <v>0.250588235294118</v>
      </c>
      <c r="E22" s="0" t="n">
        <v>0.095</v>
      </c>
      <c r="F22" s="0" t="n">
        <v>0.766616574308882</v>
      </c>
      <c r="G22" s="0" t="n">
        <v>0.095</v>
      </c>
      <c r="H22" s="0" t="n">
        <v>1</v>
      </c>
      <c r="I22" s="0" t="n">
        <v>0.095</v>
      </c>
      <c r="J22" s="0" t="n">
        <v>0.974358974358974</v>
      </c>
      <c r="K22" s="0" t="n">
        <v>0.095</v>
      </c>
      <c r="L22" s="0" t="n">
        <v>1</v>
      </c>
    </row>
    <row r="23" customFormat="false" ht="15" hidden="false" customHeight="false" outlineLevel="0" collapsed="false">
      <c r="A23" s="0" t="n">
        <v>0.1</v>
      </c>
      <c r="B23" s="0" t="n">
        <v>0.967207258698293</v>
      </c>
      <c r="C23" s="0" t="n">
        <v>0.1</v>
      </c>
      <c r="D23" s="0" t="n">
        <v>0.263088235294118</v>
      </c>
      <c r="E23" s="0" t="n">
        <v>0.1</v>
      </c>
      <c r="F23" s="0" t="n">
        <v>0.771563194640118</v>
      </c>
      <c r="G23" s="0" t="n">
        <v>0.1</v>
      </c>
      <c r="H23" s="0" t="n">
        <v>1</v>
      </c>
      <c r="I23" s="0" t="n">
        <v>0.1</v>
      </c>
      <c r="J23" s="0" t="n">
        <v>0.974358974358974</v>
      </c>
      <c r="K23" s="0" t="n">
        <v>0.1</v>
      </c>
      <c r="L23" s="0" t="n">
        <v>1</v>
      </c>
    </row>
    <row r="24" customFormat="false" ht="15" hidden="false" customHeight="false" outlineLevel="0" collapsed="false">
      <c r="A24" s="0" t="n">
        <v>0.105</v>
      </c>
      <c r="B24" s="0" t="n">
        <v>0.968993355719083</v>
      </c>
      <c r="C24" s="0" t="n">
        <v>0.105</v>
      </c>
      <c r="D24" s="0" t="n">
        <v>0.268529411764706</v>
      </c>
      <c r="E24" s="0" t="n">
        <v>0.105</v>
      </c>
      <c r="F24" s="0" t="n">
        <v>0.7766037381422</v>
      </c>
      <c r="G24" s="0" t="n">
        <v>0.105</v>
      </c>
      <c r="H24" s="0" t="n">
        <v>1</v>
      </c>
      <c r="I24" s="0" t="n">
        <v>0.105</v>
      </c>
      <c r="J24" s="0" t="n">
        <v>0.974358974358974</v>
      </c>
      <c r="K24" s="0" t="n">
        <v>0.105</v>
      </c>
      <c r="L24" s="0" t="n">
        <v>1</v>
      </c>
    </row>
    <row r="25" customFormat="false" ht="15" hidden="false" customHeight="false" outlineLevel="0" collapsed="false">
      <c r="A25" s="0" t="n">
        <v>0.11</v>
      </c>
      <c r="B25" s="0" t="n">
        <v>0.969922126169894</v>
      </c>
      <c r="C25" s="0" t="n">
        <v>0.11</v>
      </c>
      <c r="D25" s="0" t="n">
        <v>0.277205882352941</v>
      </c>
      <c r="E25" s="0" t="n">
        <v>0.11</v>
      </c>
      <c r="F25" s="0" t="n">
        <v>0.782912244450706</v>
      </c>
      <c r="G25" s="0" t="n">
        <v>0.11</v>
      </c>
      <c r="H25" s="0" t="n">
        <v>1</v>
      </c>
      <c r="I25" s="0" t="n">
        <v>0.11</v>
      </c>
      <c r="J25" s="0" t="n">
        <v>0.974358974358974</v>
      </c>
      <c r="K25" s="0" t="n">
        <v>0.11</v>
      </c>
      <c r="L25" s="0" t="n">
        <v>1</v>
      </c>
    </row>
    <row r="26" customFormat="false" ht="15" hidden="false" customHeight="false" outlineLevel="0" collapsed="false">
      <c r="A26" s="0" t="n">
        <v>0.115</v>
      </c>
      <c r="B26" s="0" t="n">
        <v>0.971136672144031</v>
      </c>
      <c r="C26" s="0" t="n">
        <v>0.115</v>
      </c>
      <c r="D26" s="0" t="n">
        <v>0.285147058823529</v>
      </c>
      <c r="E26" s="0" t="n">
        <v>0.115</v>
      </c>
      <c r="F26" s="0" t="n">
        <v>0.788375442221596</v>
      </c>
      <c r="G26" s="0" t="n">
        <v>0.115</v>
      </c>
      <c r="H26" s="0" t="n">
        <v>1</v>
      </c>
      <c r="I26" s="0" t="n">
        <v>0.115</v>
      </c>
      <c r="J26" s="0" t="n">
        <v>0.974358974358974</v>
      </c>
      <c r="K26" s="0" t="n">
        <v>0.115</v>
      </c>
      <c r="L26" s="0" t="n">
        <v>1</v>
      </c>
    </row>
    <row r="27" customFormat="false" ht="15" hidden="false" customHeight="false" outlineLevel="0" collapsed="false">
      <c r="A27" s="0" t="n">
        <v>0.12</v>
      </c>
      <c r="B27" s="0" t="n">
        <v>0.971779667071515</v>
      </c>
      <c r="C27" s="0" t="n">
        <v>0.12</v>
      </c>
      <c r="D27" s="0" t="n">
        <v>0.293088235294118</v>
      </c>
      <c r="E27" s="0" t="n">
        <v>0.12</v>
      </c>
      <c r="F27" s="0" t="n">
        <v>0.793353370276447</v>
      </c>
      <c r="G27" s="0" t="n">
        <v>0.12</v>
      </c>
      <c r="H27" s="0" t="n">
        <v>1</v>
      </c>
      <c r="I27" s="0" t="n">
        <v>0.12</v>
      </c>
      <c r="J27" s="0" t="n">
        <v>0.974358974358974</v>
      </c>
      <c r="K27" s="0" t="n">
        <v>0.12</v>
      </c>
      <c r="L27" s="0" t="n">
        <v>1</v>
      </c>
    </row>
    <row r="28" customFormat="false" ht="15" hidden="false" customHeight="false" outlineLevel="0" collapsed="false">
      <c r="A28" s="0" t="n">
        <v>0.125</v>
      </c>
      <c r="B28" s="0" t="n">
        <v>0.972494105879831</v>
      </c>
      <c r="C28" s="0" t="n">
        <v>0.125</v>
      </c>
      <c r="D28" s="0" t="n">
        <v>0.300735294117647</v>
      </c>
      <c r="E28" s="0" t="n">
        <v>0.125</v>
      </c>
      <c r="F28" s="0" t="n">
        <v>0.798425221502145</v>
      </c>
      <c r="G28" s="0" t="n">
        <v>0.125</v>
      </c>
      <c r="H28" s="0" t="n">
        <v>1</v>
      </c>
      <c r="I28" s="0" t="n">
        <v>0.125</v>
      </c>
      <c r="J28" s="0" t="n">
        <v>0.974358974358974</v>
      </c>
      <c r="K28" s="0" t="n">
        <v>0.125</v>
      </c>
      <c r="L28" s="0" t="n">
        <v>1</v>
      </c>
    </row>
    <row r="29" customFormat="false" ht="15" hidden="false" customHeight="false" outlineLevel="0" collapsed="false">
      <c r="A29" s="0" t="n">
        <v>0.13</v>
      </c>
      <c r="B29" s="0" t="n">
        <v>0.973565764092305</v>
      </c>
      <c r="C29" s="0" t="n">
        <v>0.13</v>
      </c>
      <c r="D29" s="0" t="n">
        <v>0.306911764705882</v>
      </c>
      <c r="E29" s="0" t="n">
        <v>0.13</v>
      </c>
      <c r="F29" s="0" t="n">
        <v>0.803199649353496</v>
      </c>
      <c r="G29" s="0" t="n">
        <v>0.13</v>
      </c>
      <c r="H29" s="0" t="n">
        <v>1</v>
      </c>
      <c r="I29" s="0" t="n">
        <v>0.13</v>
      </c>
      <c r="J29" s="0" t="n">
        <v>0.974358974358974</v>
      </c>
      <c r="K29" s="0" t="n">
        <v>0.13</v>
      </c>
      <c r="L29" s="0" t="n">
        <v>1</v>
      </c>
    </row>
    <row r="30" customFormat="false" ht="15" hidden="false" customHeight="false" outlineLevel="0" collapsed="false">
      <c r="A30" s="0" t="n">
        <v>0.135</v>
      </c>
      <c r="B30" s="0" t="n">
        <v>0.973994427377295</v>
      </c>
      <c r="C30" s="0" t="n">
        <v>0.135</v>
      </c>
      <c r="D30" s="0" t="n">
        <v>0.317058823529412</v>
      </c>
      <c r="E30" s="0" t="n">
        <v>0.135</v>
      </c>
      <c r="F30" s="0" t="n">
        <v>0.807817538586769</v>
      </c>
      <c r="G30" s="0" t="n">
        <v>0.135</v>
      </c>
      <c r="H30" s="0" t="n">
        <v>1</v>
      </c>
      <c r="I30" s="0" t="n">
        <v>0.135</v>
      </c>
      <c r="J30" s="0" t="n">
        <v>0.974358974358974</v>
      </c>
      <c r="K30" s="0" t="n">
        <v>0.135</v>
      </c>
      <c r="L30" s="0" t="n">
        <v>1</v>
      </c>
    </row>
    <row r="31" customFormat="false" ht="15" hidden="false" customHeight="false" outlineLevel="0" collapsed="false">
      <c r="A31" s="0" t="n">
        <v>0.14</v>
      </c>
      <c r="B31" s="0" t="n">
        <v>0.974351646781453</v>
      </c>
      <c r="C31" s="0" t="n">
        <v>0.14</v>
      </c>
      <c r="D31" s="0" t="n">
        <v>0.324705882352941</v>
      </c>
      <c r="E31" s="0" t="n">
        <v>0.14</v>
      </c>
      <c r="F31" s="0" t="n">
        <v>0.812325850787389</v>
      </c>
      <c r="G31" s="0" t="n">
        <v>0.14</v>
      </c>
      <c r="H31" s="0" t="n">
        <v>1</v>
      </c>
      <c r="I31" s="0" t="n">
        <v>0.14</v>
      </c>
      <c r="J31" s="0" t="n">
        <v>0.974358974358974</v>
      </c>
      <c r="K31" s="0" t="n">
        <v>0.14</v>
      </c>
      <c r="L31" s="0" t="n">
        <v>1</v>
      </c>
    </row>
    <row r="32" customFormat="false" ht="15" hidden="false" customHeight="false" outlineLevel="0" collapsed="false">
      <c r="A32" s="0" t="n">
        <v>0.145</v>
      </c>
      <c r="B32" s="0" t="n">
        <v>0.974565978423948</v>
      </c>
      <c r="C32" s="0" t="n">
        <v>0.145</v>
      </c>
      <c r="D32" s="0" t="n">
        <v>0.329705882352941</v>
      </c>
      <c r="E32" s="0" t="n">
        <v>0.145</v>
      </c>
      <c r="F32" s="0" t="n">
        <v>0.816067123759432</v>
      </c>
      <c r="G32" s="0" t="n">
        <v>0.145</v>
      </c>
      <c r="H32" s="0" t="n">
        <v>1</v>
      </c>
      <c r="I32" s="0" t="n">
        <v>0.145</v>
      </c>
      <c r="J32" s="0" t="n">
        <v>0.974358974358974</v>
      </c>
      <c r="K32" s="0" t="n">
        <v>0.145</v>
      </c>
      <c r="L32" s="0" t="n">
        <v>1</v>
      </c>
    </row>
    <row r="33" customFormat="false" ht="15" hidden="false" customHeight="false" outlineLevel="0" collapsed="false">
      <c r="A33" s="0" t="n">
        <v>0.15</v>
      </c>
      <c r="B33" s="0" t="n">
        <v>0.975208973351432</v>
      </c>
      <c r="C33" s="0" t="n">
        <v>0.15</v>
      </c>
      <c r="D33" s="0" t="n">
        <v>0.335441176470588</v>
      </c>
      <c r="E33" s="0" t="n">
        <v>0.15</v>
      </c>
      <c r="F33" s="0" t="n">
        <v>0.820090166244012</v>
      </c>
      <c r="G33" s="0" t="n">
        <v>0.15</v>
      </c>
      <c r="H33" s="0" t="n">
        <v>1</v>
      </c>
      <c r="I33" s="0" t="n">
        <v>0.15</v>
      </c>
      <c r="J33" s="0" t="n">
        <v>0.974358974358974</v>
      </c>
      <c r="K33" s="0" t="n">
        <v>0.15</v>
      </c>
      <c r="L33" s="0" t="n">
        <v>1</v>
      </c>
    </row>
    <row r="34" customFormat="false" ht="15" hidden="false" customHeight="false" outlineLevel="0" collapsed="false">
      <c r="A34" s="0" t="n">
        <v>0.155</v>
      </c>
      <c r="B34" s="0" t="n">
        <v>0.975494748874759</v>
      </c>
      <c r="C34" s="0" t="n">
        <v>0.155</v>
      </c>
      <c r="D34" s="0" t="n">
        <v>0.341029411764706</v>
      </c>
      <c r="E34" s="0" t="n">
        <v>0.155</v>
      </c>
      <c r="F34" s="0" t="n">
        <v>0.825115055884287</v>
      </c>
      <c r="G34" s="0" t="n">
        <v>0.155</v>
      </c>
      <c r="H34" s="0" t="n">
        <v>1</v>
      </c>
      <c r="I34" s="0" t="n">
        <v>0.155</v>
      </c>
      <c r="J34" s="0" t="n">
        <v>0.974358974358974</v>
      </c>
      <c r="K34" s="0" t="n">
        <v>0.155</v>
      </c>
      <c r="L34" s="0" t="n">
        <v>1</v>
      </c>
    </row>
    <row r="35" customFormat="false" ht="15" hidden="false" customHeight="false" outlineLevel="0" collapsed="false">
      <c r="A35" s="0" t="n">
        <v>0.16</v>
      </c>
      <c r="B35" s="0" t="n">
        <v>0.976066299921412</v>
      </c>
      <c r="C35" s="0" t="n">
        <v>0.16</v>
      </c>
      <c r="D35" s="0" t="n">
        <v>0.347205882352941</v>
      </c>
      <c r="E35" s="0" t="n">
        <v>0.16</v>
      </c>
      <c r="F35" s="0" t="n">
        <v>0.829732945117561</v>
      </c>
      <c r="G35" s="0" t="n">
        <v>0.16</v>
      </c>
      <c r="H35" s="0" t="n">
        <v>1</v>
      </c>
      <c r="I35" s="0" t="n">
        <v>0.16</v>
      </c>
      <c r="J35" s="0" t="n">
        <v>0.974358974358974</v>
      </c>
      <c r="K35" s="0" t="n">
        <v>0.16</v>
      </c>
      <c r="L35" s="0" t="n">
        <v>1</v>
      </c>
    </row>
    <row r="36" customFormat="false" ht="15" hidden="false" customHeight="false" outlineLevel="0" collapsed="false">
      <c r="A36" s="0" t="n">
        <v>0.165</v>
      </c>
      <c r="B36" s="0" t="n">
        <v>0.976995070372223</v>
      </c>
      <c r="C36" s="0" t="n">
        <v>0.165</v>
      </c>
      <c r="D36" s="0" t="n">
        <v>0.356176470588235</v>
      </c>
      <c r="E36" s="0" t="n">
        <v>0.165</v>
      </c>
      <c r="F36" s="0" t="n">
        <v>0.834209949594565</v>
      </c>
      <c r="G36" s="0" t="n">
        <v>0.165</v>
      </c>
      <c r="H36" s="0" t="n">
        <v>1</v>
      </c>
      <c r="I36" s="0" t="n">
        <v>0.165</v>
      </c>
      <c r="J36" s="0" t="n">
        <v>0.974358974358974</v>
      </c>
      <c r="K36" s="0" t="n">
        <v>0.165</v>
      </c>
      <c r="L36" s="0" t="n">
        <v>1</v>
      </c>
    </row>
    <row r="37" customFormat="false" ht="15" hidden="false" customHeight="false" outlineLevel="0" collapsed="false">
      <c r="A37" s="0" t="n">
        <v>0.17</v>
      </c>
      <c r="B37" s="0" t="n">
        <v>0.977638065299707</v>
      </c>
      <c r="C37" s="0" t="n">
        <v>0.17</v>
      </c>
      <c r="D37" s="0" t="n">
        <v>0.360735294117647</v>
      </c>
      <c r="E37" s="0" t="n">
        <v>0.17</v>
      </c>
      <c r="F37" s="0" t="n">
        <v>0.838186030493723</v>
      </c>
      <c r="G37" s="0" t="n">
        <v>0.17</v>
      </c>
      <c r="H37" s="0" t="n">
        <v>1</v>
      </c>
      <c r="I37" s="0" t="n">
        <v>0.17</v>
      </c>
      <c r="J37" s="0" t="n">
        <v>0.974358974358974</v>
      </c>
      <c r="K37" s="0" t="n">
        <v>0.17</v>
      </c>
      <c r="L37" s="0" t="n">
        <v>1</v>
      </c>
    </row>
    <row r="38" customFormat="false" ht="15" hidden="false" customHeight="false" outlineLevel="0" collapsed="false">
      <c r="A38" s="0" t="n">
        <v>0.175</v>
      </c>
      <c r="B38" s="0" t="n">
        <v>0.978352504108023</v>
      </c>
      <c r="C38" s="0" t="n">
        <v>0.175</v>
      </c>
      <c r="D38" s="0" t="n">
        <v>0.369117647058824</v>
      </c>
      <c r="E38" s="0" t="n">
        <v>0.175</v>
      </c>
      <c r="F38" s="0" t="n">
        <v>0.841723803262265</v>
      </c>
      <c r="G38" s="0" t="n">
        <v>0.175</v>
      </c>
      <c r="H38" s="0" t="n">
        <v>1</v>
      </c>
      <c r="I38" s="0" t="n">
        <v>0.175</v>
      </c>
      <c r="J38" s="0" t="n">
        <v>0.974358974358974</v>
      </c>
      <c r="K38" s="0" t="n">
        <v>0.175</v>
      </c>
      <c r="L38" s="0" t="n">
        <v>1</v>
      </c>
    </row>
    <row r="39" customFormat="false" ht="15" hidden="false" customHeight="false" outlineLevel="0" collapsed="false">
      <c r="A39" s="0" t="n">
        <v>0.18</v>
      </c>
      <c r="B39" s="0" t="n">
        <v>0.978852611273844</v>
      </c>
      <c r="C39" s="0" t="n">
        <v>0.18</v>
      </c>
      <c r="D39" s="0" t="n">
        <v>0.376323529411765</v>
      </c>
      <c r="E39" s="0" t="n">
        <v>0.18</v>
      </c>
      <c r="F39" s="0" t="n">
        <v>0.845903384364923</v>
      </c>
      <c r="G39" s="0" t="n">
        <v>0.18</v>
      </c>
      <c r="H39" s="0" t="n">
        <v>1</v>
      </c>
      <c r="I39" s="0" t="n">
        <v>0.18</v>
      </c>
      <c r="J39" s="0" t="n">
        <v>0.974358974358974</v>
      </c>
      <c r="K39" s="0" t="n">
        <v>0.18</v>
      </c>
      <c r="L39" s="0" t="n">
        <v>1</v>
      </c>
    </row>
    <row r="40" customFormat="false" ht="15" hidden="false" customHeight="false" outlineLevel="0" collapsed="false">
      <c r="A40" s="0" t="n">
        <v>0.185</v>
      </c>
      <c r="B40" s="0" t="n">
        <v>0.979352718439666</v>
      </c>
      <c r="C40" s="0" t="n">
        <v>0.185</v>
      </c>
      <c r="D40" s="0" t="n">
        <v>0.380735294117647</v>
      </c>
      <c r="E40" s="0" t="n">
        <v>0.185</v>
      </c>
      <c r="F40" s="0" t="n">
        <v>0.849550734166119</v>
      </c>
      <c r="G40" s="0" t="n">
        <v>0.185</v>
      </c>
      <c r="H40" s="0" t="n">
        <v>1</v>
      </c>
      <c r="I40" s="0" t="n">
        <v>0.185</v>
      </c>
      <c r="J40" s="0" t="n">
        <v>0.974358974358974</v>
      </c>
      <c r="K40" s="0" t="n">
        <v>0.185</v>
      </c>
      <c r="L40" s="0" t="n">
        <v>1</v>
      </c>
    </row>
    <row r="41" customFormat="false" ht="15" hidden="false" customHeight="false" outlineLevel="0" collapsed="false">
      <c r="A41" s="0" t="n">
        <v>0.19</v>
      </c>
      <c r="B41" s="0" t="n">
        <v>0.979638493962992</v>
      </c>
      <c r="C41" s="0" t="n">
        <v>0.19</v>
      </c>
      <c r="D41" s="0" t="n">
        <v>0.388676470588235</v>
      </c>
      <c r="E41" s="0" t="n">
        <v>0.19</v>
      </c>
      <c r="F41" s="0" t="n">
        <v>0.853010237625622</v>
      </c>
      <c r="G41" s="0" t="n">
        <v>0.19</v>
      </c>
      <c r="H41" s="0" t="n">
        <v>1</v>
      </c>
      <c r="I41" s="0" t="n">
        <v>0.19</v>
      </c>
      <c r="J41" s="0" t="n">
        <v>0.974358974358974</v>
      </c>
      <c r="K41" s="0" t="n">
        <v>0.19</v>
      </c>
      <c r="L41" s="0" t="n">
        <v>1</v>
      </c>
    </row>
    <row r="42" customFormat="false" ht="15" hidden="false" customHeight="false" outlineLevel="0" collapsed="false">
      <c r="A42" s="0" t="n">
        <v>0.195</v>
      </c>
      <c r="B42" s="0" t="n">
        <v>0.979781381724655</v>
      </c>
      <c r="C42" s="0" t="n">
        <v>0.195</v>
      </c>
      <c r="D42" s="0" t="n">
        <v>0.398529411764706</v>
      </c>
      <c r="E42" s="0" t="n">
        <v>0.195</v>
      </c>
      <c r="F42" s="0" t="n">
        <v>0.856657587426818</v>
      </c>
      <c r="G42" s="0" t="n">
        <v>0.195</v>
      </c>
      <c r="H42" s="0" t="n">
        <v>1</v>
      </c>
      <c r="I42" s="0" t="n">
        <v>0.195</v>
      </c>
      <c r="J42" s="0" t="n">
        <v>0.974358974358974</v>
      </c>
      <c r="K42" s="0" t="n">
        <v>0.195</v>
      </c>
      <c r="L42" s="0" t="n">
        <v>1</v>
      </c>
    </row>
    <row r="43" customFormat="false" ht="15" hidden="false" customHeight="false" outlineLevel="0" collapsed="false">
      <c r="A43" s="0" t="n">
        <v>0.2</v>
      </c>
      <c r="B43" s="0" t="n">
        <v>0.980067157247982</v>
      </c>
      <c r="C43" s="0" t="n">
        <v>0.2</v>
      </c>
      <c r="D43" s="0" t="n">
        <v>0.410588235294118</v>
      </c>
      <c r="E43" s="0" t="n">
        <v>0.2</v>
      </c>
      <c r="F43" s="0" t="n">
        <v>0.859553551861244</v>
      </c>
      <c r="G43" s="0" t="n">
        <v>0.2</v>
      </c>
      <c r="H43" s="0" t="n">
        <v>1</v>
      </c>
      <c r="I43" s="0" t="n">
        <v>0.2</v>
      </c>
      <c r="J43" s="0" t="n">
        <v>0.974358974358974</v>
      </c>
      <c r="K43" s="0" t="n">
        <v>0.2</v>
      </c>
      <c r="L43" s="0" t="n">
        <v>1</v>
      </c>
    </row>
    <row r="44" customFormat="false" ht="15" hidden="false" customHeight="false" outlineLevel="0" collapsed="false">
      <c r="A44" s="0" t="n">
        <v>0.205</v>
      </c>
      <c r="B44" s="0" t="n">
        <v>0.980710152175466</v>
      </c>
      <c r="C44" s="0" t="n">
        <v>0.205</v>
      </c>
      <c r="D44" s="0" t="n">
        <v>0.415147058823529</v>
      </c>
      <c r="E44" s="0" t="n">
        <v>0.205</v>
      </c>
      <c r="F44" s="0" t="n">
        <v>0.862183400644939</v>
      </c>
      <c r="G44" s="0" t="n">
        <v>0.205</v>
      </c>
      <c r="H44" s="0" t="n">
        <v>1</v>
      </c>
      <c r="I44" s="0" t="n">
        <v>0.205</v>
      </c>
      <c r="J44" s="0" t="n">
        <v>0.974358974358974</v>
      </c>
      <c r="K44" s="0" t="n">
        <v>0.205</v>
      </c>
      <c r="L44" s="0" t="n">
        <v>1</v>
      </c>
    </row>
    <row r="45" customFormat="false" ht="15" hidden="false" customHeight="false" outlineLevel="0" collapsed="false">
      <c r="A45" s="0" t="n">
        <v>0.21</v>
      </c>
      <c r="B45" s="0" t="n">
        <v>0.981353147102951</v>
      </c>
      <c r="C45" s="0" t="n">
        <v>0.21</v>
      </c>
      <c r="D45" s="0" t="n">
        <v>0.421764705882353</v>
      </c>
      <c r="E45" s="0" t="n">
        <v>0.21</v>
      </c>
      <c r="F45" s="0" t="n">
        <v>0.864875864875865</v>
      </c>
      <c r="G45" s="0" t="n">
        <v>0.21</v>
      </c>
      <c r="H45" s="0" t="n">
        <v>1</v>
      </c>
      <c r="I45" s="0" t="n">
        <v>0.21</v>
      </c>
      <c r="J45" s="0" t="n">
        <v>0.974358974358974</v>
      </c>
      <c r="K45" s="0" t="n">
        <v>0.21</v>
      </c>
      <c r="L45" s="0" t="n">
        <v>1</v>
      </c>
    </row>
    <row r="46" customFormat="false" ht="15" hidden="false" customHeight="false" outlineLevel="0" collapsed="false">
      <c r="A46" s="0" t="n">
        <v>0.215</v>
      </c>
      <c r="B46" s="0" t="n">
        <v>0.98178181038794</v>
      </c>
      <c r="C46" s="0" t="n">
        <v>0.215</v>
      </c>
      <c r="D46" s="0" t="n">
        <v>0.4275</v>
      </c>
      <c r="E46" s="0" t="n">
        <v>0.215</v>
      </c>
      <c r="F46" s="0" t="n">
        <v>0.868288406749945</v>
      </c>
      <c r="G46" s="0" t="n">
        <v>0.215</v>
      </c>
      <c r="H46" s="0" t="n">
        <v>1</v>
      </c>
      <c r="I46" s="0" t="n">
        <v>0.215</v>
      </c>
      <c r="J46" s="0" t="n">
        <v>0.974358974358974</v>
      </c>
      <c r="K46" s="0" t="n">
        <v>0.215</v>
      </c>
      <c r="L46" s="0" t="n">
        <v>1</v>
      </c>
    </row>
    <row r="47" customFormat="false" ht="15" hidden="false" customHeight="false" outlineLevel="0" collapsed="false">
      <c r="A47" s="0" t="n">
        <v>0.22</v>
      </c>
      <c r="B47" s="0" t="n">
        <v>0.98221047367293</v>
      </c>
      <c r="C47" s="0" t="n">
        <v>0.22</v>
      </c>
      <c r="D47" s="0" t="n">
        <v>0.433382352941177</v>
      </c>
      <c r="E47" s="0" t="n">
        <v>0.22</v>
      </c>
      <c r="F47" s="0" t="n">
        <v>0.870933909395448</v>
      </c>
      <c r="G47" s="0" t="n">
        <v>0.22</v>
      </c>
      <c r="H47" s="0" t="n">
        <v>1</v>
      </c>
      <c r="I47" s="0" t="n">
        <v>0.22</v>
      </c>
      <c r="J47" s="0" t="n">
        <v>0.974358974358974</v>
      </c>
      <c r="K47" s="0" t="n">
        <v>0.22</v>
      </c>
      <c r="L47" s="0" t="n">
        <v>1</v>
      </c>
    </row>
    <row r="48" customFormat="false" ht="15" hidden="false" customHeight="false" outlineLevel="0" collapsed="false">
      <c r="A48" s="0" t="n">
        <v>0.225</v>
      </c>
      <c r="B48" s="0" t="n">
        <v>0.982710580838751</v>
      </c>
      <c r="C48" s="0" t="n">
        <v>0.225</v>
      </c>
      <c r="D48" s="0" t="n">
        <v>0.439852941176471</v>
      </c>
      <c r="E48" s="0" t="n">
        <v>0.225</v>
      </c>
      <c r="F48" s="0" t="n">
        <v>0.874017720171566</v>
      </c>
      <c r="G48" s="0" t="n">
        <v>0.225</v>
      </c>
      <c r="H48" s="0" t="n">
        <v>1</v>
      </c>
      <c r="I48" s="0" t="n">
        <v>0.225</v>
      </c>
      <c r="J48" s="0" t="n">
        <v>0.974358974358974</v>
      </c>
      <c r="K48" s="0" t="n">
        <v>0.225</v>
      </c>
      <c r="L48" s="0" t="n">
        <v>1</v>
      </c>
    </row>
    <row r="49" customFormat="false" ht="15" hidden="false" customHeight="false" outlineLevel="0" collapsed="false">
      <c r="A49" s="0" t="n">
        <v>0.23</v>
      </c>
      <c r="B49" s="0" t="n">
        <v>0.983067800242909</v>
      </c>
      <c r="C49" s="0" t="n">
        <v>0.23</v>
      </c>
      <c r="D49" s="0" t="n">
        <v>0.447647058823529</v>
      </c>
      <c r="E49" s="0" t="n">
        <v>0.23</v>
      </c>
      <c r="F49" s="0" t="n">
        <v>0.876350145580915</v>
      </c>
      <c r="G49" s="0" t="n">
        <v>0.23</v>
      </c>
      <c r="H49" s="0" t="n">
        <v>1</v>
      </c>
      <c r="I49" s="0" t="n">
        <v>0.23</v>
      </c>
      <c r="J49" s="0" t="n">
        <v>0.974358974358974</v>
      </c>
      <c r="K49" s="0" t="n">
        <v>0.23</v>
      </c>
      <c r="L49" s="0" t="n">
        <v>1</v>
      </c>
    </row>
    <row r="50" customFormat="false" ht="15" hidden="false" customHeight="false" outlineLevel="0" collapsed="false">
      <c r="A50" s="0" t="n">
        <v>0.235</v>
      </c>
      <c r="B50" s="0" t="n">
        <v>0.983353575766236</v>
      </c>
      <c r="C50" s="0" t="n">
        <v>0.235</v>
      </c>
      <c r="D50" s="0" t="n">
        <v>0.454411764705882</v>
      </c>
      <c r="E50" s="0" t="n">
        <v>0.235</v>
      </c>
      <c r="F50" s="0" t="n">
        <v>0.878948686640994</v>
      </c>
      <c r="G50" s="0" t="n">
        <v>0.235</v>
      </c>
      <c r="H50" s="0" t="n">
        <v>1</v>
      </c>
      <c r="I50" s="0" t="n">
        <v>0.235</v>
      </c>
      <c r="J50" s="0" t="n">
        <v>0.974358974358974</v>
      </c>
      <c r="K50" s="0" t="n">
        <v>0.235</v>
      </c>
      <c r="L50" s="0" t="n">
        <v>1</v>
      </c>
    </row>
    <row r="51" customFormat="false" ht="15" hidden="false" customHeight="false" outlineLevel="0" collapsed="false">
      <c r="A51" s="0" t="n">
        <v>0.24</v>
      </c>
      <c r="B51" s="0" t="n">
        <v>0.983639351289562</v>
      </c>
      <c r="C51" s="0" t="n">
        <v>0.24</v>
      </c>
      <c r="D51" s="0" t="n">
        <v>0.4625</v>
      </c>
      <c r="E51" s="0" t="n">
        <v>0.24</v>
      </c>
      <c r="F51" s="0" t="n">
        <v>0.881406342944805</v>
      </c>
      <c r="G51" s="0" t="n">
        <v>0.24</v>
      </c>
      <c r="H51" s="0" t="n">
        <v>1</v>
      </c>
      <c r="I51" s="0" t="n">
        <v>0.24</v>
      </c>
      <c r="J51" s="0" t="n">
        <v>0.974358974358974</v>
      </c>
      <c r="K51" s="0" t="n">
        <v>0.24</v>
      </c>
      <c r="L51" s="0" t="n">
        <v>1</v>
      </c>
    </row>
    <row r="52" customFormat="false" ht="15" hidden="false" customHeight="false" outlineLevel="0" collapsed="false">
      <c r="A52" s="0" t="n">
        <v>0.245</v>
      </c>
      <c r="B52" s="0" t="n">
        <v>0.983782239051225</v>
      </c>
      <c r="C52" s="0" t="n">
        <v>0.245</v>
      </c>
      <c r="D52" s="0" t="n">
        <v>0.467205882352941</v>
      </c>
      <c r="E52" s="0" t="n">
        <v>0.245</v>
      </c>
      <c r="F52" s="0" t="n">
        <v>0.883832691524999</v>
      </c>
      <c r="G52" s="0" t="n">
        <v>0.245</v>
      </c>
      <c r="H52" s="0" t="n">
        <v>1</v>
      </c>
      <c r="I52" s="0" t="n">
        <v>0.245</v>
      </c>
      <c r="J52" s="0" t="n">
        <v>0.974358974358974</v>
      </c>
      <c r="K52" s="0" t="n">
        <v>0.245</v>
      </c>
      <c r="L52" s="0" t="n">
        <v>1</v>
      </c>
    </row>
    <row r="53" customFormat="false" ht="15" hidden="false" customHeight="false" outlineLevel="0" collapsed="false">
      <c r="A53" s="0" t="n">
        <v>0.25</v>
      </c>
      <c r="B53" s="0" t="n">
        <v>0.983925126812889</v>
      </c>
      <c r="C53" s="0" t="n">
        <v>0.25</v>
      </c>
      <c r="D53" s="0" t="n">
        <v>0.474852941176471</v>
      </c>
      <c r="E53" s="0" t="n">
        <v>0.25</v>
      </c>
      <c r="F53" s="0" t="n">
        <v>0.885664193356501</v>
      </c>
      <c r="G53" s="0" t="n">
        <v>0.25</v>
      </c>
      <c r="H53" s="0" t="n">
        <v>1</v>
      </c>
      <c r="I53" s="0" t="n">
        <v>0.25</v>
      </c>
      <c r="J53" s="0" t="n">
        <v>1</v>
      </c>
      <c r="K53" s="0" t="n">
        <v>0.25</v>
      </c>
      <c r="L53" s="0" t="n">
        <v>1</v>
      </c>
    </row>
    <row r="54" customFormat="false" ht="15" hidden="false" customHeight="false" outlineLevel="0" collapsed="false">
      <c r="A54" s="0" t="n">
        <v>0.255</v>
      </c>
      <c r="B54" s="0" t="n">
        <v>0.984139458455383</v>
      </c>
      <c r="C54" s="0" t="n">
        <v>0.255</v>
      </c>
      <c r="D54" s="0" t="n">
        <v>0.48</v>
      </c>
      <c r="E54" s="0" t="n">
        <v>0.255</v>
      </c>
      <c r="F54" s="0" t="n">
        <v>0.888904542750697</v>
      </c>
      <c r="G54" s="0" t="n">
        <v>0.255</v>
      </c>
      <c r="H54" s="0" t="n">
        <v>1</v>
      </c>
      <c r="I54" s="0" t="n">
        <v>0.255</v>
      </c>
      <c r="J54" s="0" t="n">
        <v>1</v>
      </c>
      <c r="K54" s="0" t="n">
        <v>0.255</v>
      </c>
      <c r="L54" s="0" t="n">
        <v>1</v>
      </c>
    </row>
    <row r="55" customFormat="false" ht="15" hidden="false" customHeight="false" outlineLevel="0" collapsed="false">
      <c r="A55" s="0" t="n">
        <v>0.26</v>
      </c>
      <c r="B55" s="0" t="n">
        <v>0.984711009502036</v>
      </c>
      <c r="C55" s="0" t="n">
        <v>0.26</v>
      </c>
      <c r="D55" s="0" t="n">
        <v>0.484705882352941</v>
      </c>
      <c r="E55" s="0" t="n">
        <v>0.26</v>
      </c>
      <c r="F55" s="0" t="n">
        <v>0.890814313891237</v>
      </c>
      <c r="G55" s="0" t="n">
        <v>0.26</v>
      </c>
      <c r="H55" s="0" t="n">
        <v>1</v>
      </c>
      <c r="I55" s="0" t="n">
        <v>0.26</v>
      </c>
      <c r="J55" s="0" t="n">
        <v>1</v>
      </c>
      <c r="K55" s="0" t="n">
        <v>0.26</v>
      </c>
      <c r="L55" s="0" t="n">
        <v>1</v>
      </c>
    </row>
    <row r="56" customFormat="false" ht="15" hidden="false" customHeight="false" outlineLevel="0" collapsed="false">
      <c r="A56" s="0" t="n">
        <v>0.265</v>
      </c>
      <c r="B56" s="0" t="n">
        <v>0.984925341144531</v>
      </c>
      <c r="C56" s="0" t="n">
        <v>0.265</v>
      </c>
      <c r="D56" s="0" t="n">
        <v>0.492352941176471</v>
      </c>
      <c r="E56" s="0" t="n">
        <v>0.265</v>
      </c>
      <c r="F56" s="0" t="n">
        <v>0.893037162267932</v>
      </c>
      <c r="G56" s="0" t="n">
        <v>0.265</v>
      </c>
      <c r="H56" s="0" t="n">
        <v>1</v>
      </c>
      <c r="I56" s="0" t="n">
        <v>0.265</v>
      </c>
      <c r="J56" s="0" t="n">
        <v>1</v>
      </c>
      <c r="K56" s="0" t="n">
        <v>0.265</v>
      </c>
      <c r="L56" s="0" t="n">
        <v>1</v>
      </c>
    </row>
    <row r="57" customFormat="false" ht="15" hidden="false" customHeight="false" outlineLevel="0" collapsed="false">
      <c r="A57" s="0" t="n">
        <v>0.27</v>
      </c>
      <c r="B57" s="0" t="n">
        <v>0.985211116667857</v>
      </c>
      <c r="C57" s="0" t="n">
        <v>0.27</v>
      </c>
      <c r="D57" s="0" t="n">
        <v>0.502058823529412</v>
      </c>
      <c r="E57" s="0" t="n">
        <v>0.27</v>
      </c>
      <c r="F57" s="0" t="n">
        <v>0.895275664506434</v>
      </c>
      <c r="G57" s="0" t="n">
        <v>0.27</v>
      </c>
      <c r="H57" s="0" t="n">
        <v>1</v>
      </c>
      <c r="I57" s="0" t="n">
        <v>0.27</v>
      </c>
      <c r="J57" s="0" t="n">
        <v>1</v>
      </c>
      <c r="K57" s="0" t="n">
        <v>0.27</v>
      </c>
      <c r="L57" s="0" t="n">
        <v>1</v>
      </c>
    </row>
    <row r="58" customFormat="false" ht="15" hidden="false" customHeight="false" outlineLevel="0" collapsed="false">
      <c r="A58" s="0" t="n">
        <v>0.275</v>
      </c>
      <c r="B58" s="0" t="n">
        <v>0.985496892191184</v>
      </c>
      <c r="C58" s="0" t="n">
        <v>0.275</v>
      </c>
      <c r="D58" s="0" t="n">
        <v>0.506617647058824</v>
      </c>
      <c r="E58" s="0" t="n">
        <v>0.275</v>
      </c>
      <c r="F58" s="0" t="n">
        <v>0.897060204752513</v>
      </c>
      <c r="G58" s="0" t="n">
        <v>0.275</v>
      </c>
      <c r="H58" s="0" t="n">
        <v>1</v>
      </c>
      <c r="I58" s="0" t="n">
        <v>0.275</v>
      </c>
      <c r="J58" s="0" t="n">
        <v>1</v>
      </c>
      <c r="K58" s="0" t="n">
        <v>0.275</v>
      </c>
      <c r="L58" s="0" t="n">
        <v>1</v>
      </c>
    </row>
    <row r="59" customFormat="false" ht="15" hidden="false" customHeight="false" outlineLevel="0" collapsed="false">
      <c r="A59" s="0" t="n">
        <v>0.28</v>
      </c>
      <c r="B59" s="0" t="n">
        <v>0.98578266771451</v>
      </c>
      <c r="C59" s="0" t="n">
        <v>0.28</v>
      </c>
      <c r="D59" s="0" t="n">
        <v>0.510882352941177</v>
      </c>
      <c r="E59" s="0" t="n">
        <v>0.28</v>
      </c>
      <c r="F59" s="0" t="n">
        <v>0.898766475689553</v>
      </c>
      <c r="G59" s="0" t="n">
        <v>0.28</v>
      </c>
      <c r="H59" s="0" t="n">
        <v>1</v>
      </c>
      <c r="I59" s="0" t="n">
        <v>0.28</v>
      </c>
      <c r="J59" s="0" t="n">
        <v>1</v>
      </c>
      <c r="K59" s="0" t="n">
        <v>0.28</v>
      </c>
      <c r="L59" s="0" t="n">
        <v>1</v>
      </c>
    </row>
    <row r="60" customFormat="false" ht="15" hidden="false" customHeight="false" outlineLevel="0" collapsed="false">
      <c r="A60" s="0" t="n">
        <v>0.285</v>
      </c>
      <c r="B60" s="0" t="n">
        <v>0.985854111595342</v>
      </c>
      <c r="C60" s="0" t="n">
        <v>0.285</v>
      </c>
      <c r="D60" s="0" t="n">
        <v>0.516911764705882</v>
      </c>
      <c r="E60" s="0" t="n">
        <v>0.285</v>
      </c>
      <c r="F60" s="0" t="n">
        <v>0.901067593375286</v>
      </c>
      <c r="G60" s="0" t="n">
        <v>0.285</v>
      </c>
      <c r="H60" s="0" t="n">
        <v>1</v>
      </c>
      <c r="I60" s="0" t="n">
        <v>0.285</v>
      </c>
      <c r="J60" s="0" t="n">
        <v>1</v>
      </c>
      <c r="K60" s="0" t="n">
        <v>0.285</v>
      </c>
      <c r="L60" s="0" t="n">
        <v>1</v>
      </c>
    </row>
    <row r="61" customFormat="false" ht="15" hidden="false" customHeight="false" outlineLevel="0" collapsed="false">
      <c r="A61" s="0" t="n">
        <v>0.29</v>
      </c>
      <c r="B61" s="0" t="n">
        <v>0.986068443237837</v>
      </c>
      <c r="C61" s="0" t="n">
        <v>0.29</v>
      </c>
      <c r="D61" s="0" t="n">
        <v>0.524852941176471</v>
      </c>
      <c r="E61" s="0" t="n">
        <v>0.29</v>
      </c>
      <c r="F61" s="0" t="n">
        <v>0.903274787890173</v>
      </c>
      <c r="G61" s="0" t="n">
        <v>0.29</v>
      </c>
      <c r="H61" s="0" t="n">
        <v>1</v>
      </c>
      <c r="I61" s="0" t="n">
        <v>0.29</v>
      </c>
      <c r="J61" s="0" t="n">
        <v>1</v>
      </c>
      <c r="K61" s="0" t="n">
        <v>0.29</v>
      </c>
      <c r="L61" s="0" t="n">
        <v>1</v>
      </c>
    </row>
    <row r="62" customFormat="false" ht="15" hidden="false" customHeight="false" outlineLevel="0" collapsed="false">
      <c r="A62" s="0" t="n">
        <v>0.295</v>
      </c>
      <c r="B62" s="0" t="n">
        <v>0.9862113309995</v>
      </c>
      <c r="C62" s="0" t="n">
        <v>0.295</v>
      </c>
      <c r="D62" s="0" t="n">
        <v>0.530735294117647</v>
      </c>
      <c r="E62" s="0" t="n">
        <v>0.295</v>
      </c>
      <c r="F62" s="0" t="n">
        <v>0.905309789925175</v>
      </c>
      <c r="G62" s="0" t="n">
        <v>0.295</v>
      </c>
      <c r="H62" s="0" t="n">
        <v>1</v>
      </c>
      <c r="I62" s="0" t="n">
        <v>0.295</v>
      </c>
      <c r="J62" s="0" t="n">
        <v>1</v>
      </c>
      <c r="K62" s="0" t="n">
        <v>0.295</v>
      </c>
      <c r="L62" s="0" t="n">
        <v>1</v>
      </c>
    </row>
    <row r="63" customFormat="false" ht="15" hidden="false" customHeight="false" outlineLevel="0" collapsed="false">
      <c r="A63" s="0" t="n">
        <v>0.3</v>
      </c>
      <c r="B63" s="0" t="n">
        <v>0.986282774880331</v>
      </c>
      <c r="C63" s="0" t="n">
        <v>0.3</v>
      </c>
      <c r="D63" s="0" t="n">
        <v>0.538088235294118</v>
      </c>
      <c r="E63" s="0" t="n">
        <v>0.3</v>
      </c>
      <c r="F63" s="0" t="n">
        <v>0.90793963870887</v>
      </c>
      <c r="G63" s="0" t="n">
        <v>0.3</v>
      </c>
      <c r="H63" s="0" t="n">
        <v>1</v>
      </c>
      <c r="I63" s="0" t="n">
        <v>0.3</v>
      </c>
      <c r="J63" s="0" t="n">
        <v>1</v>
      </c>
      <c r="K63" s="0" t="n">
        <v>0.3</v>
      </c>
      <c r="L63" s="0" t="n">
        <v>1</v>
      </c>
    </row>
    <row r="64" customFormat="false" ht="15" hidden="false" customHeight="false" outlineLevel="0" collapsed="false">
      <c r="A64" s="0" t="n">
        <v>0.305</v>
      </c>
      <c r="B64" s="0" t="n">
        <v>0.986497106522826</v>
      </c>
      <c r="C64" s="0" t="n">
        <v>0.305</v>
      </c>
      <c r="D64" s="0" t="n">
        <v>0.543676470588235</v>
      </c>
      <c r="E64" s="0" t="n">
        <v>0.305</v>
      </c>
      <c r="F64" s="0" t="n">
        <v>0.910694718387026</v>
      </c>
      <c r="G64" s="0" t="n">
        <v>0.305</v>
      </c>
      <c r="H64" s="0" t="n">
        <v>1</v>
      </c>
      <c r="I64" s="0" t="n">
        <v>0.305</v>
      </c>
      <c r="J64" s="0" t="n">
        <v>1</v>
      </c>
      <c r="K64" s="0" t="n">
        <v>0.305</v>
      </c>
      <c r="L64" s="0" t="n">
        <v>1</v>
      </c>
    </row>
    <row r="65" customFormat="false" ht="15" hidden="false" customHeight="false" outlineLevel="0" collapsed="false">
      <c r="A65" s="0" t="n">
        <v>0.31</v>
      </c>
      <c r="B65" s="0" t="n">
        <v>0.98663999428449</v>
      </c>
      <c r="C65" s="0" t="n">
        <v>0.31</v>
      </c>
      <c r="D65" s="0" t="n">
        <v>0.548088235294118</v>
      </c>
      <c r="E65" s="0" t="n">
        <v>0.31</v>
      </c>
      <c r="F65" s="0" t="n">
        <v>0.912573181803951</v>
      </c>
      <c r="G65" s="0" t="n">
        <v>0.31</v>
      </c>
      <c r="H65" s="0" t="n">
        <v>1</v>
      </c>
      <c r="I65" s="0" t="n">
        <v>0.31</v>
      </c>
      <c r="J65" s="0" t="n">
        <v>1</v>
      </c>
      <c r="K65" s="0" t="n">
        <v>0.31</v>
      </c>
      <c r="L65" s="0" t="n">
        <v>1</v>
      </c>
    </row>
    <row r="66" customFormat="false" ht="15" hidden="false" customHeight="false" outlineLevel="0" collapsed="false">
      <c r="A66" s="0" t="n">
        <v>0.315</v>
      </c>
      <c r="B66" s="0" t="n">
        <v>0.986854325926984</v>
      </c>
      <c r="C66" s="0" t="n">
        <v>0.315</v>
      </c>
      <c r="D66" s="0" t="n">
        <v>0.5525</v>
      </c>
      <c r="E66" s="0" t="n">
        <v>0.315</v>
      </c>
      <c r="F66" s="0" t="n">
        <v>0.91421683729376</v>
      </c>
      <c r="G66" s="0" t="n">
        <v>0.315</v>
      </c>
      <c r="H66" s="0" t="n">
        <v>1</v>
      </c>
      <c r="I66" s="0" t="n">
        <v>0.315</v>
      </c>
      <c r="J66" s="0" t="n">
        <v>1</v>
      </c>
      <c r="K66" s="0" t="n">
        <v>0.315</v>
      </c>
      <c r="L66" s="0" t="n">
        <v>1</v>
      </c>
    </row>
    <row r="67" customFormat="false" ht="15" hidden="false" customHeight="false" outlineLevel="0" collapsed="false">
      <c r="A67" s="0" t="n">
        <v>0.32</v>
      </c>
      <c r="B67" s="0" t="n">
        <v>0.987211545331142</v>
      </c>
      <c r="C67" s="0" t="n">
        <v>0.32</v>
      </c>
      <c r="D67" s="0" t="n">
        <v>0.559705882352941</v>
      </c>
      <c r="E67" s="0" t="n">
        <v>0.32</v>
      </c>
      <c r="F67" s="0" t="n">
        <v>0.916110954572493</v>
      </c>
      <c r="G67" s="0" t="n">
        <v>0.32</v>
      </c>
      <c r="H67" s="0" t="n">
        <v>1</v>
      </c>
      <c r="I67" s="0" t="n">
        <v>0.32</v>
      </c>
      <c r="J67" s="0" t="n">
        <v>1</v>
      </c>
      <c r="K67" s="0" t="n">
        <v>0.32</v>
      </c>
      <c r="L67" s="0" t="n">
        <v>1</v>
      </c>
    </row>
    <row r="68" customFormat="false" ht="15" hidden="false" customHeight="false" outlineLevel="0" collapsed="false">
      <c r="A68" s="0" t="n">
        <v>0.325</v>
      </c>
      <c r="B68" s="0" t="n">
        <v>0.987211545331142</v>
      </c>
      <c r="C68" s="0" t="n">
        <v>0.325</v>
      </c>
      <c r="D68" s="0" t="n">
        <v>0.564852941176471</v>
      </c>
      <c r="E68" s="0" t="n">
        <v>0.325</v>
      </c>
      <c r="F68" s="0" t="n">
        <v>0.917801571647726</v>
      </c>
      <c r="G68" s="0" t="n">
        <v>0.325</v>
      </c>
      <c r="H68" s="0" t="n">
        <v>1</v>
      </c>
      <c r="I68" s="0" t="n">
        <v>0.325</v>
      </c>
      <c r="J68" s="0" t="n">
        <v>1</v>
      </c>
      <c r="K68" s="0" t="n">
        <v>0.325</v>
      </c>
      <c r="L68" s="0" t="n">
        <v>1</v>
      </c>
    </row>
    <row r="69" customFormat="false" ht="15" hidden="false" customHeight="false" outlineLevel="0" collapsed="false">
      <c r="A69" s="0" t="n">
        <v>0.33</v>
      </c>
      <c r="B69" s="0" t="n">
        <v>0.987497320854469</v>
      </c>
      <c r="C69" s="0" t="n">
        <v>0.33</v>
      </c>
      <c r="D69" s="0" t="n">
        <v>0.568970588235294</v>
      </c>
      <c r="E69" s="0" t="n">
        <v>0.33</v>
      </c>
      <c r="F69" s="0" t="n">
        <v>0.91961741961742</v>
      </c>
      <c r="G69" s="0" t="n">
        <v>0.33</v>
      </c>
      <c r="H69" s="0" t="n">
        <v>1</v>
      </c>
      <c r="I69" s="0" t="n">
        <v>0.33</v>
      </c>
      <c r="J69" s="0" t="n">
        <v>1</v>
      </c>
      <c r="K69" s="0" t="n">
        <v>0.33</v>
      </c>
      <c r="L69" s="0" t="n">
        <v>1</v>
      </c>
    </row>
    <row r="70" customFormat="false" ht="15" hidden="false" customHeight="false" outlineLevel="0" collapsed="false">
      <c r="A70" s="0" t="n">
        <v>0.335</v>
      </c>
      <c r="B70" s="0" t="n">
        <v>0.987711652496964</v>
      </c>
      <c r="C70" s="0" t="n">
        <v>0.335</v>
      </c>
      <c r="D70" s="0" t="n">
        <v>0.573529411764706</v>
      </c>
      <c r="E70" s="0" t="n">
        <v>0.335</v>
      </c>
      <c r="F70" s="0" t="n">
        <v>0.921088882627344</v>
      </c>
      <c r="G70" s="0" t="n">
        <v>0.335</v>
      </c>
      <c r="H70" s="0" t="n">
        <v>1</v>
      </c>
      <c r="I70" s="0" t="n">
        <v>0.335</v>
      </c>
      <c r="J70" s="0" t="n">
        <v>1</v>
      </c>
      <c r="K70" s="0" t="n">
        <v>0.335</v>
      </c>
      <c r="L70" s="0" t="n">
        <v>1</v>
      </c>
    </row>
    <row r="71" customFormat="false" ht="15" hidden="false" customHeight="false" outlineLevel="0" collapsed="false">
      <c r="A71" s="0" t="n">
        <v>0.34</v>
      </c>
      <c r="B71" s="0" t="n">
        <v>0.987854540258627</v>
      </c>
      <c r="C71" s="0" t="n">
        <v>0.34</v>
      </c>
      <c r="D71" s="0" t="n">
        <v>0.577794117647059</v>
      </c>
      <c r="E71" s="0" t="n">
        <v>0.34</v>
      </c>
      <c r="F71" s="0" t="n">
        <v>0.922763845840769</v>
      </c>
      <c r="G71" s="0" t="n">
        <v>0.34</v>
      </c>
      <c r="H71" s="0" t="n">
        <v>1</v>
      </c>
      <c r="I71" s="0" t="n">
        <v>0.34</v>
      </c>
      <c r="J71" s="0" t="n">
        <v>1</v>
      </c>
      <c r="K71" s="0" t="n">
        <v>0.34</v>
      </c>
      <c r="L71" s="0" t="n">
        <v>1</v>
      </c>
    </row>
    <row r="72" customFormat="false" ht="15" hidden="false" customHeight="false" outlineLevel="0" collapsed="false">
      <c r="A72" s="0" t="n">
        <v>0.345</v>
      </c>
      <c r="B72" s="0" t="n">
        <v>0.987925984139458</v>
      </c>
      <c r="C72" s="0" t="n">
        <v>0.345</v>
      </c>
      <c r="D72" s="0" t="n">
        <v>0.584117647058824</v>
      </c>
      <c r="E72" s="0" t="n">
        <v>0.345</v>
      </c>
      <c r="F72" s="0" t="n">
        <v>0.924141385679847</v>
      </c>
      <c r="G72" s="0" t="n">
        <v>0.345</v>
      </c>
      <c r="H72" s="0" t="n">
        <v>1</v>
      </c>
      <c r="I72" s="0" t="n">
        <v>0.345</v>
      </c>
      <c r="J72" s="0" t="n">
        <v>1</v>
      </c>
      <c r="K72" s="0" t="n">
        <v>0.345</v>
      </c>
      <c r="L72" s="0" t="n">
        <v>1</v>
      </c>
    </row>
    <row r="73" customFormat="false" ht="15" hidden="false" customHeight="false" outlineLevel="0" collapsed="false">
      <c r="A73" s="0" t="n">
        <v>0.35</v>
      </c>
      <c r="B73" s="0" t="n">
        <v>0.987925984139458</v>
      </c>
      <c r="C73" s="0" t="n">
        <v>0.35</v>
      </c>
      <c r="D73" s="0" t="n">
        <v>0.586764705882353</v>
      </c>
      <c r="E73" s="0" t="n">
        <v>0.35</v>
      </c>
      <c r="F73" s="0" t="n">
        <v>0.925378040762656</v>
      </c>
      <c r="G73" s="0" t="n">
        <v>0.35</v>
      </c>
      <c r="H73" s="0" t="n">
        <v>1</v>
      </c>
      <c r="I73" s="0" t="n">
        <v>0.35</v>
      </c>
      <c r="J73" s="0" t="n">
        <v>1</v>
      </c>
      <c r="K73" s="0" t="n">
        <v>0.35</v>
      </c>
      <c r="L73" s="0" t="n">
        <v>1</v>
      </c>
    </row>
    <row r="74" customFormat="false" ht="15" hidden="false" customHeight="false" outlineLevel="0" collapsed="false">
      <c r="A74" s="0" t="n">
        <v>0.355</v>
      </c>
      <c r="B74" s="0" t="n">
        <v>0.988140315781953</v>
      </c>
      <c r="C74" s="0" t="n">
        <v>0.355</v>
      </c>
      <c r="D74" s="0" t="n">
        <v>0.591323529411765</v>
      </c>
      <c r="E74" s="0" t="n">
        <v>0.355</v>
      </c>
      <c r="F74" s="0" t="n">
        <v>0.926692965154504</v>
      </c>
      <c r="G74" s="0" t="n">
        <v>0.355</v>
      </c>
      <c r="H74" s="0" t="n">
        <v>1</v>
      </c>
      <c r="I74" s="0" t="n">
        <v>0.355</v>
      </c>
      <c r="J74" s="0" t="n">
        <v>1</v>
      </c>
      <c r="K74" s="0" t="n">
        <v>0.355</v>
      </c>
      <c r="L74" s="0" t="n">
        <v>1</v>
      </c>
    </row>
    <row r="75" customFormat="false" ht="15" hidden="false" customHeight="false" outlineLevel="0" collapsed="false">
      <c r="A75" s="0" t="n">
        <v>0.36</v>
      </c>
      <c r="B75" s="0" t="n">
        <v>0.988283203543617</v>
      </c>
      <c r="C75" s="0" t="n">
        <v>0.36</v>
      </c>
      <c r="D75" s="0" t="n">
        <v>0.593676470588235</v>
      </c>
      <c r="E75" s="0" t="n">
        <v>0.36</v>
      </c>
      <c r="F75" s="0" t="n">
        <v>0.928023543408159</v>
      </c>
      <c r="G75" s="0" t="n">
        <v>0.36</v>
      </c>
      <c r="H75" s="0" t="n">
        <v>1</v>
      </c>
      <c r="I75" s="0" t="n">
        <v>0.36</v>
      </c>
      <c r="J75" s="0" t="n">
        <v>1</v>
      </c>
      <c r="K75" s="0" t="n">
        <v>0.36</v>
      </c>
      <c r="L75" s="0" t="n">
        <v>1</v>
      </c>
    </row>
    <row r="76" customFormat="false" ht="15" hidden="false" customHeight="false" outlineLevel="0" collapsed="false">
      <c r="A76" s="0" t="n">
        <v>0.365</v>
      </c>
      <c r="B76" s="0" t="n">
        <v>0.988354647424448</v>
      </c>
      <c r="C76" s="0" t="n">
        <v>0.365</v>
      </c>
      <c r="D76" s="0" t="n">
        <v>0.596911764705882</v>
      </c>
      <c r="E76" s="0" t="n">
        <v>0.365</v>
      </c>
      <c r="F76" s="0" t="n">
        <v>0.929495006418083</v>
      </c>
      <c r="G76" s="0" t="n">
        <v>0.365</v>
      </c>
      <c r="H76" s="0" t="n">
        <v>1</v>
      </c>
      <c r="I76" s="0" t="n">
        <v>0.365</v>
      </c>
      <c r="J76" s="0" t="n">
        <v>1</v>
      </c>
      <c r="K76" s="0" t="n">
        <v>0.365</v>
      </c>
      <c r="L76" s="0" t="n">
        <v>1</v>
      </c>
    </row>
    <row r="77" customFormat="false" ht="15" hidden="false" customHeight="false" outlineLevel="0" collapsed="false">
      <c r="A77" s="0" t="n">
        <v>0.37</v>
      </c>
      <c r="B77" s="0" t="n">
        <v>0.988497535186111</v>
      </c>
      <c r="C77" s="0" t="n">
        <v>0.37</v>
      </c>
      <c r="D77" s="0" t="n">
        <v>0.602647058823529</v>
      </c>
      <c r="E77" s="0" t="n">
        <v>0.37</v>
      </c>
      <c r="F77" s="0" t="n">
        <v>0.931389123696816</v>
      </c>
      <c r="G77" s="0" t="n">
        <v>0.37</v>
      </c>
      <c r="H77" s="0" t="n">
        <v>1</v>
      </c>
      <c r="I77" s="0" t="n">
        <v>0.37</v>
      </c>
      <c r="J77" s="0" t="n">
        <v>1</v>
      </c>
      <c r="K77" s="0" t="n">
        <v>0.37</v>
      </c>
      <c r="L77" s="0" t="n">
        <v>1</v>
      </c>
    </row>
    <row r="78" customFormat="false" ht="15" hidden="false" customHeight="false" outlineLevel="0" collapsed="false">
      <c r="A78" s="0" t="n">
        <v>0.375</v>
      </c>
      <c r="B78" s="0" t="n">
        <v>0.988497535186111</v>
      </c>
      <c r="C78" s="0" t="n">
        <v>0.375</v>
      </c>
      <c r="D78" s="0" t="n">
        <v>0.606176470588235</v>
      </c>
      <c r="E78" s="0" t="n">
        <v>0.375</v>
      </c>
      <c r="F78" s="0" t="n">
        <v>0.932829278983125</v>
      </c>
      <c r="G78" s="0" t="n">
        <v>0.375</v>
      </c>
      <c r="H78" s="0" t="n">
        <v>1</v>
      </c>
      <c r="I78" s="0" t="n">
        <v>0.375</v>
      </c>
      <c r="J78" s="0" t="n">
        <v>1</v>
      </c>
      <c r="K78" s="0" t="n">
        <v>0.375</v>
      </c>
      <c r="L78" s="0" t="n">
        <v>1</v>
      </c>
    </row>
    <row r="79" customFormat="false" ht="15" hidden="false" customHeight="false" outlineLevel="0" collapsed="false">
      <c r="A79" s="0" t="n">
        <v>0.38</v>
      </c>
      <c r="B79" s="0" t="n">
        <v>0.988640422947775</v>
      </c>
      <c r="C79" s="0" t="n">
        <v>0.38</v>
      </c>
      <c r="D79" s="0" t="n">
        <v>0.61</v>
      </c>
      <c r="E79" s="0" t="n">
        <v>0.38</v>
      </c>
      <c r="F79" s="0" t="n">
        <v>0.934347703578473</v>
      </c>
      <c r="G79" s="0" t="n">
        <v>0.38</v>
      </c>
      <c r="H79" s="0" t="n">
        <v>1</v>
      </c>
      <c r="I79" s="0" t="n">
        <v>0.38</v>
      </c>
      <c r="J79" s="0" t="n">
        <v>1</v>
      </c>
      <c r="K79" s="0" t="n">
        <v>0.38</v>
      </c>
      <c r="L79" s="0" t="n">
        <v>1</v>
      </c>
    </row>
    <row r="80" customFormat="false" ht="15" hidden="false" customHeight="false" outlineLevel="0" collapsed="false">
      <c r="A80" s="0" t="n">
        <v>0.385</v>
      </c>
      <c r="B80" s="0" t="n">
        <v>0.988997642351933</v>
      </c>
      <c r="C80" s="0" t="n">
        <v>0.385</v>
      </c>
      <c r="D80" s="0" t="n">
        <v>0.613382352941177</v>
      </c>
      <c r="E80" s="0" t="n">
        <v>0.385</v>
      </c>
      <c r="F80" s="0" t="n">
        <v>0.935866128173821</v>
      </c>
      <c r="G80" s="0" t="n">
        <v>0.385</v>
      </c>
      <c r="H80" s="0" t="n">
        <v>1</v>
      </c>
      <c r="I80" s="0" t="n">
        <v>0.385</v>
      </c>
      <c r="J80" s="0" t="n">
        <v>1</v>
      </c>
      <c r="K80" s="0" t="n">
        <v>0.385</v>
      </c>
      <c r="L80" s="0" t="n">
        <v>1</v>
      </c>
    </row>
    <row r="81" customFormat="false" ht="15" hidden="false" customHeight="false" outlineLevel="0" collapsed="false">
      <c r="A81" s="0" t="n">
        <v>0.39</v>
      </c>
      <c r="B81" s="0" t="n">
        <v>0.989354861756091</v>
      </c>
      <c r="C81" s="0" t="n">
        <v>0.39</v>
      </c>
      <c r="D81" s="0" t="n">
        <v>0.617647058823529</v>
      </c>
      <c r="E81" s="0" t="n">
        <v>0.39</v>
      </c>
      <c r="F81" s="0" t="n">
        <v>0.937134090980245</v>
      </c>
      <c r="G81" s="0" t="n">
        <v>0.39</v>
      </c>
      <c r="H81" s="0" t="n">
        <v>1</v>
      </c>
      <c r="I81" s="0" t="n">
        <v>0.39</v>
      </c>
      <c r="J81" s="0" t="n">
        <v>1</v>
      </c>
      <c r="K81" s="0" t="n">
        <v>0.39</v>
      </c>
      <c r="L81" s="0" t="n">
        <v>1</v>
      </c>
    </row>
    <row r="82" customFormat="false" ht="15" hidden="false" customHeight="false" outlineLevel="0" collapsed="false">
      <c r="A82" s="0" t="n">
        <v>0.395</v>
      </c>
      <c r="B82" s="0" t="n">
        <v>0.989569193398585</v>
      </c>
      <c r="C82" s="0" t="n">
        <v>0.395</v>
      </c>
      <c r="D82" s="0" t="n">
        <v>0.621764705882353</v>
      </c>
      <c r="E82" s="0" t="n">
        <v>0.395</v>
      </c>
      <c r="F82" s="0" t="n">
        <v>0.938417707648477</v>
      </c>
      <c r="G82" s="0" t="n">
        <v>0.395</v>
      </c>
      <c r="H82" s="0" t="n">
        <v>1</v>
      </c>
      <c r="I82" s="0" t="n">
        <v>0.395</v>
      </c>
      <c r="J82" s="0" t="n">
        <v>1</v>
      </c>
      <c r="K82" s="0" t="n">
        <v>0.395</v>
      </c>
      <c r="L82" s="0" t="n">
        <v>1</v>
      </c>
    </row>
    <row r="83" customFormat="false" ht="15" hidden="false" customHeight="false" outlineLevel="0" collapsed="false">
      <c r="A83" s="0" t="n">
        <v>0.4</v>
      </c>
      <c r="B83" s="0" t="n">
        <v>0.989640637279417</v>
      </c>
      <c r="C83" s="0" t="n">
        <v>0.4</v>
      </c>
      <c r="D83" s="0" t="n">
        <v>0.625588235294118</v>
      </c>
      <c r="E83" s="0" t="n">
        <v>0.4</v>
      </c>
      <c r="F83" s="0" t="n">
        <v>0.939795247487555</v>
      </c>
      <c r="G83" s="0" t="n">
        <v>0.4</v>
      </c>
      <c r="H83" s="0" t="n">
        <v>1</v>
      </c>
      <c r="I83" s="0" t="n">
        <v>0.4</v>
      </c>
      <c r="J83" s="0" t="n">
        <v>1</v>
      </c>
      <c r="K83" s="0" t="n">
        <v>0.4</v>
      </c>
      <c r="L83" s="0" t="n">
        <v>1</v>
      </c>
    </row>
    <row r="84" customFormat="false" ht="15" hidden="false" customHeight="false" outlineLevel="0" collapsed="false">
      <c r="A84" s="0" t="n">
        <v>0.405</v>
      </c>
      <c r="B84" s="0" t="n">
        <v>0.989712081160249</v>
      </c>
      <c r="C84" s="0" t="n">
        <v>0.405</v>
      </c>
      <c r="D84" s="0" t="n">
        <v>0.631176470588235</v>
      </c>
      <c r="E84" s="0" t="n">
        <v>0.405</v>
      </c>
      <c r="F84" s="0" t="n">
        <v>0.941016248708556</v>
      </c>
      <c r="G84" s="0" t="n">
        <v>0.405</v>
      </c>
      <c r="H84" s="0" t="n">
        <v>1</v>
      </c>
      <c r="I84" s="0" t="n">
        <v>0.405</v>
      </c>
      <c r="J84" s="0" t="n">
        <v>1</v>
      </c>
      <c r="K84" s="0" t="n">
        <v>0.405</v>
      </c>
      <c r="L84" s="0" t="n">
        <v>1</v>
      </c>
    </row>
    <row r="85" customFormat="false" ht="15" hidden="false" customHeight="false" outlineLevel="0" collapsed="false">
      <c r="A85" s="0" t="n">
        <v>0.41</v>
      </c>
      <c r="B85" s="0" t="n">
        <v>0.99021218832607</v>
      </c>
      <c r="C85" s="0" t="n">
        <v>0.41</v>
      </c>
      <c r="D85" s="0" t="n">
        <v>0.637352941176471</v>
      </c>
      <c r="E85" s="0" t="n">
        <v>0.41</v>
      </c>
      <c r="F85" s="0" t="n">
        <v>0.942315519238596</v>
      </c>
      <c r="G85" s="0" t="n">
        <v>0.41</v>
      </c>
      <c r="H85" s="0" t="n">
        <v>1</v>
      </c>
      <c r="I85" s="0" t="n">
        <v>0.41</v>
      </c>
      <c r="J85" s="0" t="n">
        <v>1</v>
      </c>
      <c r="K85" s="0" t="n">
        <v>0.41</v>
      </c>
      <c r="L85" s="0" t="n">
        <v>1</v>
      </c>
    </row>
    <row r="86" customFormat="false" ht="15" hidden="false" customHeight="false" outlineLevel="0" collapsed="false">
      <c r="A86" s="0" t="n">
        <v>0.415</v>
      </c>
      <c r="B86" s="0" t="n">
        <v>0.990497963849396</v>
      </c>
      <c r="C86" s="0" t="n">
        <v>0.415</v>
      </c>
      <c r="D86" s="0" t="n">
        <v>0.641029411764706</v>
      </c>
      <c r="E86" s="0" t="n">
        <v>0.415</v>
      </c>
      <c r="F86" s="0" t="n">
        <v>0.943990482452021</v>
      </c>
      <c r="G86" s="0" t="n">
        <v>0.415</v>
      </c>
      <c r="H86" s="0" t="n">
        <v>1</v>
      </c>
      <c r="I86" s="0" t="n">
        <v>0.415</v>
      </c>
      <c r="J86" s="0" t="n">
        <v>1</v>
      </c>
      <c r="K86" s="0" t="n">
        <v>0.415</v>
      </c>
      <c r="L86" s="0" t="n">
        <v>1</v>
      </c>
    </row>
    <row r="87" customFormat="false" ht="15" hidden="false" customHeight="false" outlineLevel="0" collapsed="false">
      <c r="A87" s="0" t="n">
        <v>0.42</v>
      </c>
      <c r="B87" s="0" t="n">
        <v>0.99064085161106</v>
      </c>
      <c r="C87" s="0" t="n">
        <v>0.42</v>
      </c>
      <c r="D87" s="0" t="n">
        <v>0.643529411764706</v>
      </c>
      <c r="E87" s="0" t="n">
        <v>0.42</v>
      </c>
      <c r="F87" s="0" t="n">
        <v>0.94543063773833</v>
      </c>
      <c r="G87" s="0" t="n">
        <v>0.42</v>
      </c>
      <c r="H87" s="0" t="n">
        <v>1</v>
      </c>
      <c r="I87" s="0" t="n">
        <v>0.42</v>
      </c>
      <c r="J87" s="0" t="n">
        <v>1</v>
      </c>
      <c r="K87" s="0" t="n">
        <v>0.42</v>
      </c>
      <c r="L87" s="0" t="n">
        <v>1</v>
      </c>
    </row>
    <row r="88" customFormat="false" ht="15" hidden="false" customHeight="false" outlineLevel="0" collapsed="false">
      <c r="A88" s="0" t="n">
        <v>0.425</v>
      </c>
      <c r="B88" s="0" t="n">
        <v>0.990712295491891</v>
      </c>
      <c r="C88" s="0" t="n">
        <v>0.425</v>
      </c>
      <c r="D88" s="0" t="n">
        <v>0.648529411764706</v>
      </c>
      <c r="E88" s="0" t="n">
        <v>0.425</v>
      </c>
      <c r="F88" s="0" t="n">
        <v>0.946542061926677</v>
      </c>
      <c r="G88" s="0" t="n">
        <v>0.425</v>
      </c>
      <c r="H88" s="0" t="n">
        <v>1</v>
      </c>
      <c r="I88" s="0" t="n">
        <v>0.425</v>
      </c>
      <c r="J88" s="0" t="n">
        <v>1</v>
      </c>
      <c r="K88" s="0" t="n">
        <v>0.425</v>
      </c>
      <c r="L88" s="0" t="n">
        <v>1</v>
      </c>
    </row>
    <row r="89" customFormat="false" ht="15" hidden="false" customHeight="false" outlineLevel="0" collapsed="false">
      <c r="A89" s="0" t="n">
        <v>0.43</v>
      </c>
      <c r="B89" s="0" t="n">
        <v>0.990926627134386</v>
      </c>
      <c r="C89" s="0" t="n">
        <v>0.43</v>
      </c>
      <c r="D89" s="0" t="n">
        <v>0.6525</v>
      </c>
      <c r="E89" s="0" t="n">
        <v>0.43</v>
      </c>
      <c r="F89" s="0" t="n">
        <v>0.947700447700448</v>
      </c>
      <c r="G89" s="0" t="n">
        <v>0.43</v>
      </c>
      <c r="H89" s="0" t="n">
        <v>1</v>
      </c>
      <c r="I89" s="0" t="n">
        <v>0.43</v>
      </c>
      <c r="J89" s="0" t="n">
        <v>1</v>
      </c>
      <c r="K89" s="0" t="n">
        <v>0.43</v>
      </c>
      <c r="L89" s="0" t="n">
        <v>1</v>
      </c>
    </row>
    <row r="90" customFormat="false" ht="15" hidden="false" customHeight="false" outlineLevel="0" collapsed="false">
      <c r="A90" s="0" t="n">
        <v>0.435</v>
      </c>
      <c r="B90" s="0" t="n">
        <v>0.991212402657712</v>
      </c>
      <c r="C90" s="0" t="n">
        <v>0.435</v>
      </c>
      <c r="D90" s="0" t="n">
        <v>0.657352941176471</v>
      </c>
      <c r="E90" s="0" t="n">
        <v>0.435</v>
      </c>
      <c r="F90" s="0" t="n">
        <v>0.949203218433988</v>
      </c>
      <c r="G90" s="0" t="n">
        <v>0.435</v>
      </c>
      <c r="H90" s="0" t="n">
        <v>1</v>
      </c>
      <c r="I90" s="0" t="n">
        <v>0.435</v>
      </c>
      <c r="J90" s="0" t="n">
        <v>1</v>
      </c>
      <c r="K90" s="0" t="n">
        <v>0.435</v>
      </c>
      <c r="L90" s="0" t="n">
        <v>1</v>
      </c>
    </row>
    <row r="91" customFormat="false" ht="15" hidden="false" customHeight="false" outlineLevel="0" collapsed="false">
      <c r="A91" s="0" t="n">
        <v>0.44</v>
      </c>
      <c r="B91" s="0" t="n">
        <v>0.991641065942702</v>
      </c>
      <c r="C91" s="0" t="n">
        <v>0.44</v>
      </c>
      <c r="D91" s="0" t="n">
        <v>0.6625</v>
      </c>
      <c r="E91" s="0" t="n">
        <v>0.44</v>
      </c>
      <c r="F91" s="0" t="n">
        <v>0.950361604207758</v>
      </c>
      <c r="G91" s="0" t="n">
        <v>0.44</v>
      </c>
      <c r="H91" s="0" t="n">
        <v>1</v>
      </c>
      <c r="I91" s="0" t="n">
        <v>0.44</v>
      </c>
      <c r="J91" s="0" t="n">
        <v>1</v>
      </c>
      <c r="K91" s="0" t="n">
        <v>0.44</v>
      </c>
      <c r="L91" s="0" t="n">
        <v>1</v>
      </c>
    </row>
    <row r="92" customFormat="false" ht="15" hidden="false" customHeight="false" outlineLevel="0" collapsed="false">
      <c r="A92" s="0" t="n">
        <v>0.445</v>
      </c>
      <c r="B92" s="0" t="n">
        <v>0.992212616989355</v>
      </c>
      <c r="C92" s="0" t="n">
        <v>0.445</v>
      </c>
      <c r="D92" s="0" t="n">
        <v>0.665441176470588</v>
      </c>
      <c r="E92" s="0" t="n">
        <v>0.445</v>
      </c>
      <c r="F92" s="0" t="n">
        <v>0.951300835916221</v>
      </c>
      <c r="G92" s="0" t="n">
        <v>0.445</v>
      </c>
      <c r="H92" s="0" t="n">
        <v>1</v>
      </c>
      <c r="I92" s="0" t="n">
        <v>0.445</v>
      </c>
      <c r="J92" s="0" t="n">
        <v>1</v>
      </c>
      <c r="K92" s="0" t="n">
        <v>0.445</v>
      </c>
      <c r="L92" s="0" t="n">
        <v>1</v>
      </c>
    </row>
    <row r="93" customFormat="false" ht="15" hidden="false" customHeight="false" outlineLevel="0" collapsed="false">
      <c r="A93" s="0" t="n">
        <v>0.45</v>
      </c>
      <c r="B93" s="0" t="n">
        <v>0.992212616989355</v>
      </c>
      <c r="C93" s="0" t="n">
        <v>0.45</v>
      </c>
      <c r="D93" s="0" t="n">
        <v>0.670294117647059</v>
      </c>
      <c r="E93" s="0" t="n">
        <v>0.45</v>
      </c>
      <c r="F93" s="0" t="n">
        <v>0.95253749099903</v>
      </c>
      <c r="G93" s="0" t="n">
        <v>0.45</v>
      </c>
      <c r="H93" s="0" t="n">
        <v>1</v>
      </c>
      <c r="I93" s="0" t="n">
        <v>0.45</v>
      </c>
      <c r="J93" s="0" t="n">
        <v>1</v>
      </c>
      <c r="K93" s="0" t="n">
        <v>0.45</v>
      </c>
      <c r="L93" s="0" t="n">
        <v>1</v>
      </c>
    </row>
    <row r="94" customFormat="false" ht="15" hidden="false" customHeight="false" outlineLevel="0" collapsed="false">
      <c r="A94" s="0" t="n">
        <v>0.455</v>
      </c>
      <c r="B94" s="0" t="n">
        <v>0.992498392512681</v>
      </c>
      <c r="C94" s="0" t="n">
        <v>0.455</v>
      </c>
      <c r="D94" s="0" t="n">
        <v>0.676470588235294</v>
      </c>
      <c r="E94" s="0" t="n">
        <v>0.455</v>
      </c>
      <c r="F94" s="0" t="n">
        <v>0.9536958767728</v>
      </c>
      <c r="G94" s="0" t="n">
        <v>0.455</v>
      </c>
      <c r="H94" s="0" t="n">
        <v>1</v>
      </c>
      <c r="I94" s="0" t="n">
        <v>0.455</v>
      </c>
      <c r="J94" s="0" t="n">
        <v>1</v>
      </c>
      <c r="K94" s="0" t="n">
        <v>0.455</v>
      </c>
      <c r="L94" s="0" t="n">
        <v>1</v>
      </c>
    </row>
    <row r="95" customFormat="false" ht="15" hidden="false" customHeight="false" outlineLevel="0" collapsed="false">
      <c r="A95" s="0" t="n">
        <v>0.46</v>
      </c>
      <c r="B95" s="0" t="n">
        <v>0.992498392512681</v>
      </c>
      <c r="C95" s="0" t="n">
        <v>0.46</v>
      </c>
      <c r="D95" s="0" t="n">
        <v>0.679705882352941</v>
      </c>
      <c r="E95" s="0" t="n">
        <v>0.46</v>
      </c>
      <c r="F95" s="0" t="n">
        <v>0.95485426254657</v>
      </c>
      <c r="G95" s="0" t="n">
        <v>0.46</v>
      </c>
      <c r="H95" s="0" t="n">
        <v>1</v>
      </c>
      <c r="I95" s="0" t="n">
        <v>0.46</v>
      </c>
      <c r="J95" s="0" t="n">
        <v>1</v>
      </c>
      <c r="K95" s="0" t="n">
        <v>0.46</v>
      </c>
      <c r="L95" s="0" t="n">
        <v>1</v>
      </c>
    </row>
    <row r="96" customFormat="false" ht="15" hidden="false" customHeight="false" outlineLevel="0" collapsed="false">
      <c r="A96" s="0" t="n">
        <v>0.465</v>
      </c>
      <c r="B96" s="0" t="n">
        <v>0.992641280274345</v>
      </c>
      <c r="C96" s="0" t="n">
        <v>0.465</v>
      </c>
      <c r="D96" s="0" t="n">
        <v>0.6825</v>
      </c>
      <c r="E96" s="0" t="n">
        <v>0.465</v>
      </c>
      <c r="F96" s="0" t="n">
        <v>0.955934379011302</v>
      </c>
      <c r="G96" s="0" t="n">
        <v>0.465</v>
      </c>
      <c r="H96" s="0" t="n">
        <v>1</v>
      </c>
      <c r="I96" s="0" t="n">
        <v>0.465</v>
      </c>
      <c r="J96" s="0" t="n">
        <v>1</v>
      </c>
      <c r="K96" s="0" t="n">
        <v>0.465</v>
      </c>
      <c r="L96" s="0" t="n">
        <v>1</v>
      </c>
    </row>
    <row r="97" customFormat="false" ht="15" hidden="false" customHeight="false" outlineLevel="0" collapsed="false">
      <c r="A97" s="0" t="n">
        <v>0.47</v>
      </c>
      <c r="B97" s="0" t="n">
        <v>0.992855611916839</v>
      </c>
      <c r="C97" s="0" t="n">
        <v>0.47</v>
      </c>
      <c r="D97" s="0" t="n">
        <v>0.686029411764706</v>
      </c>
      <c r="E97" s="0" t="n">
        <v>0.47</v>
      </c>
      <c r="F97" s="0" t="n">
        <v>0.956779687548918</v>
      </c>
      <c r="G97" s="0" t="n">
        <v>0.47</v>
      </c>
      <c r="H97" s="0" t="n">
        <v>1</v>
      </c>
      <c r="I97" s="0" t="n">
        <v>0.47</v>
      </c>
      <c r="J97" s="0" t="n">
        <v>1</v>
      </c>
      <c r="K97" s="0" t="n">
        <v>0.47</v>
      </c>
      <c r="L97" s="0" t="n">
        <v>1</v>
      </c>
    </row>
    <row r="98" customFormat="false" ht="15" hidden="false" customHeight="false" outlineLevel="0" collapsed="false">
      <c r="A98" s="0" t="n">
        <v>0.475</v>
      </c>
      <c r="B98" s="0" t="n">
        <v>0.992998499678503</v>
      </c>
      <c r="C98" s="0" t="n">
        <v>0.475</v>
      </c>
      <c r="D98" s="0" t="n">
        <v>0.69</v>
      </c>
      <c r="E98" s="0" t="n">
        <v>0.475</v>
      </c>
      <c r="F98" s="0" t="n">
        <v>0.958016342631727</v>
      </c>
      <c r="G98" s="0" t="n">
        <v>0.475</v>
      </c>
      <c r="H98" s="0" t="n">
        <v>1</v>
      </c>
      <c r="I98" s="0" t="n">
        <v>0.475</v>
      </c>
      <c r="J98" s="0" t="n">
        <v>1</v>
      </c>
      <c r="K98" s="0" t="n">
        <v>0.475</v>
      </c>
      <c r="L98" s="0" t="n">
        <v>1</v>
      </c>
    </row>
    <row r="99" customFormat="false" ht="15" hidden="false" customHeight="false" outlineLevel="0" collapsed="false">
      <c r="A99" s="0" t="n">
        <v>0.48</v>
      </c>
      <c r="B99" s="0" t="n">
        <v>0.993069943559334</v>
      </c>
      <c r="C99" s="0" t="n">
        <v>0.48</v>
      </c>
      <c r="D99" s="0" t="n">
        <v>0.693088235294118</v>
      </c>
      <c r="E99" s="0" t="n">
        <v>0.48</v>
      </c>
      <c r="F99" s="0" t="n">
        <v>0.959065151372844</v>
      </c>
      <c r="G99" s="0" t="n">
        <v>0.48</v>
      </c>
      <c r="H99" s="0" t="n">
        <v>1</v>
      </c>
      <c r="I99" s="0" t="n">
        <v>0.48</v>
      </c>
      <c r="J99" s="0" t="n">
        <v>1</v>
      </c>
      <c r="K99" s="0" t="n">
        <v>0.48</v>
      </c>
      <c r="L99" s="0" t="n">
        <v>1</v>
      </c>
    </row>
    <row r="100" customFormat="false" ht="15" hidden="false" customHeight="false" outlineLevel="0" collapsed="false">
      <c r="A100" s="0" t="n">
        <v>0.485</v>
      </c>
      <c r="B100" s="0" t="n">
        <v>0.993069943559334</v>
      </c>
      <c r="C100" s="0" t="n">
        <v>0.485</v>
      </c>
      <c r="D100" s="0" t="n">
        <v>0.696029411764706</v>
      </c>
      <c r="E100" s="0" t="n">
        <v>0.485</v>
      </c>
      <c r="F100" s="0" t="n">
        <v>0.960489652797345</v>
      </c>
      <c r="G100" s="0" t="n">
        <v>0.485</v>
      </c>
      <c r="H100" s="0" t="n">
        <v>1</v>
      </c>
      <c r="I100" s="0" t="n">
        <v>0.485</v>
      </c>
      <c r="J100" s="0" t="n">
        <v>1</v>
      </c>
      <c r="K100" s="0" t="n">
        <v>0.485</v>
      </c>
      <c r="L100" s="0" t="n">
        <v>1</v>
      </c>
    </row>
    <row r="101" customFormat="false" ht="15" hidden="false" customHeight="false" outlineLevel="0" collapsed="false">
      <c r="A101" s="0" t="n">
        <v>0.49</v>
      </c>
      <c r="B101" s="0" t="n">
        <v>0.993284275201829</v>
      </c>
      <c r="C101" s="0" t="n">
        <v>0.49</v>
      </c>
      <c r="D101" s="0" t="n">
        <v>0.700588235294118</v>
      </c>
      <c r="E101" s="0" t="n">
        <v>0.49</v>
      </c>
      <c r="F101" s="0" t="n">
        <v>0.961601076985692</v>
      </c>
      <c r="G101" s="0" t="n">
        <v>0.49</v>
      </c>
      <c r="H101" s="0" t="n">
        <v>1</v>
      </c>
      <c r="I101" s="0" t="n">
        <v>0.49</v>
      </c>
      <c r="J101" s="0" t="n">
        <v>1</v>
      </c>
      <c r="K101" s="0" t="n">
        <v>0.49</v>
      </c>
      <c r="L101" s="0" t="n">
        <v>1</v>
      </c>
    </row>
    <row r="102" customFormat="false" ht="15" hidden="false" customHeight="false" outlineLevel="0" collapsed="false">
      <c r="A102" s="0" t="n">
        <v>0.495</v>
      </c>
      <c r="B102" s="0" t="n">
        <v>0.993355719082661</v>
      </c>
      <c r="C102" s="0" t="n">
        <v>0.495</v>
      </c>
      <c r="D102" s="0" t="n">
        <v>0.703529411764706</v>
      </c>
      <c r="E102" s="0" t="n">
        <v>0.495</v>
      </c>
      <c r="F102" s="0" t="n">
        <v>0.962493347108732</v>
      </c>
      <c r="G102" s="0" t="n">
        <v>0.495</v>
      </c>
      <c r="H102" s="0" t="n">
        <v>1</v>
      </c>
      <c r="I102" s="0" t="n">
        <v>0.495</v>
      </c>
      <c r="J102" s="0" t="n">
        <v>1</v>
      </c>
      <c r="K102" s="0" t="n">
        <v>0.495</v>
      </c>
      <c r="L102" s="0" t="n">
        <v>1</v>
      </c>
    </row>
    <row r="103" customFormat="false" ht="15" hidden="false" customHeight="false" outlineLevel="0" collapsed="false">
      <c r="A103" s="0" t="n">
        <v>0.5</v>
      </c>
      <c r="B103" s="0" t="n">
        <v>0.993355719082661</v>
      </c>
      <c r="C103" s="0" t="n">
        <v>0.5</v>
      </c>
      <c r="D103" s="0" t="n">
        <v>0.707352941176471</v>
      </c>
      <c r="E103" s="0" t="n">
        <v>0.5</v>
      </c>
      <c r="F103" s="0" t="n">
        <v>0.963761309915156</v>
      </c>
      <c r="G103" s="0" t="n">
        <v>0.5</v>
      </c>
      <c r="H103" s="0" t="n">
        <v>1</v>
      </c>
      <c r="I103" s="0" t="n">
        <v>0.5</v>
      </c>
      <c r="J103" s="0" t="n">
        <v>1</v>
      </c>
      <c r="K103" s="0" t="n">
        <v>0.5</v>
      </c>
      <c r="L103" s="0" t="n">
        <v>1</v>
      </c>
    </row>
    <row r="104" customFormat="false" ht="15" hidden="false" customHeight="false" outlineLevel="0" collapsed="false">
      <c r="A104" s="0" t="n">
        <v>0.505</v>
      </c>
      <c r="B104" s="0" t="n">
        <v>0.993427162963492</v>
      </c>
      <c r="C104" s="0" t="n">
        <v>0.505</v>
      </c>
      <c r="D104" s="0" t="n">
        <v>0.711764705882353</v>
      </c>
      <c r="E104" s="0" t="n">
        <v>0.505</v>
      </c>
      <c r="F104" s="0" t="n">
        <v>0.964700541623619</v>
      </c>
      <c r="G104" s="0" t="n">
        <v>0.505</v>
      </c>
      <c r="H104" s="0" t="n">
        <v>1</v>
      </c>
      <c r="I104" s="0" t="n">
        <v>0.505</v>
      </c>
      <c r="J104" s="0" t="n">
        <v>1</v>
      </c>
      <c r="K104" s="0" t="n">
        <v>0.505</v>
      </c>
      <c r="L104" s="0" t="n">
        <v>1</v>
      </c>
    </row>
    <row r="105" customFormat="false" ht="15" hidden="false" customHeight="false" outlineLevel="0" collapsed="false">
      <c r="A105" s="0" t="n">
        <v>0.51</v>
      </c>
      <c r="B105" s="0" t="n">
        <v>0.993641494605987</v>
      </c>
      <c r="C105" s="0" t="n">
        <v>0.51</v>
      </c>
      <c r="D105" s="0" t="n">
        <v>0.714852941176471</v>
      </c>
      <c r="E105" s="0" t="n">
        <v>0.51</v>
      </c>
      <c r="F105" s="0" t="n">
        <v>0.965311042234119</v>
      </c>
      <c r="G105" s="0" t="n">
        <v>0.51</v>
      </c>
      <c r="H105" s="0" t="n">
        <v>1</v>
      </c>
      <c r="I105" s="0" t="n">
        <v>0.51</v>
      </c>
      <c r="J105" s="0" t="n">
        <v>1</v>
      </c>
      <c r="K105" s="0" t="n">
        <v>0.51</v>
      </c>
      <c r="L105" s="0" t="n">
        <v>1</v>
      </c>
    </row>
    <row r="106" customFormat="false" ht="15" hidden="false" customHeight="false" outlineLevel="0" collapsed="false">
      <c r="A106" s="0" t="n">
        <v>0.515</v>
      </c>
      <c r="B106" s="0" t="n">
        <v>0.993641494605987</v>
      </c>
      <c r="C106" s="0" t="n">
        <v>0.515</v>
      </c>
      <c r="D106" s="0" t="n">
        <v>0.719117647058824</v>
      </c>
      <c r="E106" s="0" t="n">
        <v>0.515</v>
      </c>
      <c r="F106" s="0" t="n">
        <v>0.96592154284462</v>
      </c>
      <c r="G106" s="0" t="n">
        <v>0.515</v>
      </c>
      <c r="H106" s="0" t="n">
        <v>1</v>
      </c>
      <c r="I106" s="0" t="n">
        <v>0.515</v>
      </c>
      <c r="J106" s="0" t="n">
        <v>1</v>
      </c>
      <c r="K106" s="0" t="n">
        <v>0.515</v>
      </c>
      <c r="L106" s="0" t="n">
        <v>1</v>
      </c>
    </row>
    <row r="107" customFormat="false" ht="15" hidden="false" customHeight="false" outlineLevel="0" collapsed="false">
      <c r="A107" s="0" t="n">
        <v>0.52</v>
      </c>
      <c r="B107" s="0" t="n">
        <v>0.993641494605987</v>
      </c>
      <c r="C107" s="0" t="n">
        <v>0.52</v>
      </c>
      <c r="D107" s="0" t="n">
        <v>0.722941176470588</v>
      </c>
      <c r="E107" s="0" t="n">
        <v>0.52</v>
      </c>
      <c r="F107" s="0" t="n">
        <v>0.966719889796813</v>
      </c>
      <c r="G107" s="0" t="n">
        <v>0.52</v>
      </c>
      <c r="H107" s="0" t="n">
        <v>1</v>
      </c>
      <c r="I107" s="0" t="n">
        <v>0.52</v>
      </c>
      <c r="J107" s="0" t="n">
        <v>1</v>
      </c>
      <c r="K107" s="0" t="n">
        <v>0.52</v>
      </c>
      <c r="L107" s="0" t="n">
        <v>1</v>
      </c>
    </row>
    <row r="108" customFormat="false" ht="15" hidden="false" customHeight="false" outlineLevel="0" collapsed="false">
      <c r="A108" s="0" t="n">
        <v>0.525</v>
      </c>
      <c r="B108" s="0" t="n">
        <v>0.993927270129314</v>
      </c>
      <c r="C108" s="0" t="n">
        <v>0.525</v>
      </c>
      <c r="D108" s="0" t="n">
        <v>0.726470588235294</v>
      </c>
      <c r="E108" s="0" t="n">
        <v>0.525</v>
      </c>
      <c r="F108" s="0" t="n">
        <v>0.967674775367083</v>
      </c>
      <c r="G108" s="0" t="n">
        <v>0.525</v>
      </c>
      <c r="H108" s="0" t="n">
        <v>1</v>
      </c>
      <c r="I108" s="0" t="n">
        <v>0.525</v>
      </c>
      <c r="J108" s="0" t="n">
        <v>1</v>
      </c>
      <c r="K108" s="0" t="n">
        <v>0.525</v>
      </c>
      <c r="L108" s="0" t="n">
        <v>1</v>
      </c>
    </row>
    <row r="109" customFormat="false" ht="15" hidden="false" customHeight="false" outlineLevel="0" collapsed="false">
      <c r="A109" s="0" t="n">
        <v>0.53</v>
      </c>
      <c r="B109" s="0" t="n">
        <v>0.993998714010145</v>
      </c>
      <c r="C109" s="0" t="n">
        <v>0.53</v>
      </c>
      <c r="D109" s="0" t="n">
        <v>0.732058823529412</v>
      </c>
      <c r="E109" s="0" t="n">
        <v>0.53</v>
      </c>
      <c r="F109" s="0" t="n">
        <v>0.968801853417238</v>
      </c>
      <c r="G109" s="0" t="n">
        <v>0.53</v>
      </c>
      <c r="H109" s="0" t="n">
        <v>1</v>
      </c>
      <c r="I109" s="0" t="n">
        <v>0.53</v>
      </c>
      <c r="J109" s="0" t="n">
        <v>1</v>
      </c>
      <c r="K109" s="0" t="n">
        <v>0.53</v>
      </c>
      <c r="L109" s="0" t="n">
        <v>1</v>
      </c>
    </row>
    <row r="110" customFormat="false" ht="15" hidden="false" customHeight="false" outlineLevel="0" collapsed="false">
      <c r="A110" s="0" t="n">
        <v>0.535</v>
      </c>
      <c r="B110" s="0" t="n">
        <v>0.993998714010145</v>
      </c>
      <c r="C110" s="0" t="n">
        <v>0.535</v>
      </c>
      <c r="D110" s="0" t="n">
        <v>0.735441176470588</v>
      </c>
      <c r="E110" s="0" t="n">
        <v>0.535</v>
      </c>
      <c r="F110" s="0" t="n">
        <v>0.969349738580508</v>
      </c>
      <c r="G110" s="0" t="n">
        <v>0.535</v>
      </c>
      <c r="H110" s="0" t="n">
        <v>1</v>
      </c>
      <c r="I110" s="0" t="n">
        <v>0.535</v>
      </c>
      <c r="J110" s="0" t="n">
        <v>1</v>
      </c>
      <c r="K110" s="0" t="n">
        <v>0.535</v>
      </c>
      <c r="L110" s="0" t="n">
        <v>1</v>
      </c>
    </row>
    <row r="111" customFormat="false" ht="15" hidden="false" customHeight="false" outlineLevel="0" collapsed="false">
      <c r="A111" s="0" t="n">
        <v>0.54</v>
      </c>
      <c r="B111" s="0" t="n">
        <v>0.994070157890977</v>
      </c>
      <c r="C111" s="0" t="n">
        <v>0.54</v>
      </c>
      <c r="D111" s="0" t="n">
        <v>0.740294117647059</v>
      </c>
      <c r="E111" s="0" t="n">
        <v>0.54</v>
      </c>
      <c r="F111" s="0" t="n">
        <v>0.970148085532701</v>
      </c>
      <c r="G111" s="0" t="n">
        <v>0.54</v>
      </c>
      <c r="H111" s="0" t="n">
        <v>1</v>
      </c>
      <c r="I111" s="0" t="n">
        <v>0.54</v>
      </c>
      <c r="J111" s="0" t="n">
        <v>1</v>
      </c>
      <c r="K111" s="0" t="n">
        <v>0.54</v>
      </c>
      <c r="L111" s="0" t="n">
        <v>1</v>
      </c>
    </row>
    <row r="112" customFormat="false" ht="15" hidden="false" customHeight="false" outlineLevel="0" collapsed="false">
      <c r="A112" s="0" t="n">
        <v>0.545</v>
      </c>
      <c r="B112" s="0" t="n">
        <v>0.99421304565264</v>
      </c>
      <c r="C112" s="0" t="n">
        <v>0.545</v>
      </c>
      <c r="D112" s="0" t="n">
        <v>0.743970588235294</v>
      </c>
      <c r="E112" s="0" t="n">
        <v>0.545</v>
      </c>
      <c r="F112" s="0" t="n">
        <v>0.970993394070317</v>
      </c>
      <c r="G112" s="0" t="n">
        <v>0.545</v>
      </c>
      <c r="H112" s="0" t="n">
        <v>1</v>
      </c>
      <c r="I112" s="0" t="n">
        <v>0.545</v>
      </c>
      <c r="J112" s="0" t="n">
        <v>1</v>
      </c>
      <c r="K112" s="0" t="n">
        <v>0.545</v>
      </c>
      <c r="L112" s="0" t="n">
        <v>1</v>
      </c>
    </row>
    <row r="113" customFormat="false" ht="15" hidden="false" customHeight="false" outlineLevel="0" collapsed="false">
      <c r="A113" s="0" t="n">
        <v>0.55</v>
      </c>
      <c r="B113" s="0" t="n">
        <v>0.994355933414303</v>
      </c>
      <c r="C113" s="0" t="n">
        <v>0.55</v>
      </c>
      <c r="D113" s="0" t="n">
        <v>0.746176470588235</v>
      </c>
      <c r="E113" s="0" t="n">
        <v>0.55</v>
      </c>
      <c r="F113" s="0" t="n">
        <v>0.971650856266241</v>
      </c>
      <c r="G113" s="0" t="n">
        <v>0.55</v>
      </c>
      <c r="H113" s="0" t="n">
        <v>1</v>
      </c>
      <c r="I113" s="0" t="n">
        <v>0.55</v>
      </c>
      <c r="J113" s="0" t="n">
        <v>1</v>
      </c>
      <c r="K113" s="0" t="n">
        <v>0.55</v>
      </c>
      <c r="L113" s="0" t="n">
        <v>1</v>
      </c>
    </row>
    <row r="114" customFormat="false" ht="15" hidden="false" customHeight="false" outlineLevel="0" collapsed="false">
      <c r="A114" s="0" t="n">
        <v>0.555</v>
      </c>
      <c r="B114" s="0" t="n">
        <v>0.994355933414303</v>
      </c>
      <c r="C114" s="0" t="n">
        <v>0.555</v>
      </c>
      <c r="D114" s="0" t="n">
        <v>0.748382352941177</v>
      </c>
      <c r="E114" s="0" t="n">
        <v>0.555</v>
      </c>
      <c r="F114" s="0" t="n">
        <v>0.972417895494819</v>
      </c>
      <c r="G114" s="0" t="n">
        <v>0.555</v>
      </c>
      <c r="H114" s="0" t="n">
        <v>1</v>
      </c>
      <c r="I114" s="0" t="n">
        <v>0.555</v>
      </c>
      <c r="J114" s="0" t="n">
        <v>1</v>
      </c>
      <c r="K114" s="0" t="n">
        <v>0.555</v>
      </c>
      <c r="L114" s="0" t="n">
        <v>1</v>
      </c>
    </row>
    <row r="115" customFormat="false" ht="15" hidden="false" customHeight="false" outlineLevel="0" collapsed="false">
      <c r="A115" s="0" t="n">
        <v>0.56</v>
      </c>
      <c r="B115" s="0" t="n">
        <v>0.994498821175966</v>
      </c>
      <c r="C115" s="0" t="n">
        <v>0.56</v>
      </c>
      <c r="D115" s="0" t="n">
        <v>0.751470588235294</v>
      </c>
      <c r="E115" s="0" t="n">
        <v>0.56</v>
      </c>
      <c r="F115" s="0" t="n">
        <v>0.973137973137973</v>
      </c>
      <c r="G115" s="0" t="n">
        <v>0.56</v>
      </c>
      <c r="H115" s="0" t="n">
        <v>1</v>
      </c>
      <c r="I115" s="0" t="n">
        <v>0.56</v>
      </c>
      <c r="J115" s="0" t="n">
        <v>1</v>
      </c>
      <c r="K115" s="0" t="n">
        <v>0.56</v>
      </c>
      <c r="L115" s="0" t="n">
        <v>1</v>
      </c>
    </row>
    <row r="116" customFormat="false" ht="15" hidden="false" customHeight="false" outlineLevel="0" collapsed="false">
      <c r="A116" s="0" t="n">
        <v>0.565</v>
      </c>
      <c r="B116" s="0" t="n">
        <v>0.994498821175966</v>
      </c>
      <c r="C116" s="0" t="n">
        <v>0.565</v>
      </c>
      <c r="D116" s="0" t="n">
        <v>0.754264705882353</v>
      </c>
      <c r="E116" s="0" t="n">
        <v>0.565</v>
      </c>
      <c r="F116" s="0" t="n">
        <v>0.974061550984628</v>
      </c>
      <c r="G116" s="0" t="n">
        <v>0.565</v>
      </c>
      <c r="H116" s="0" t="n">
        <v>1</v>
      </c>
      <c r="I116" s="0" t="n">
        <v>0.565</v>
      </c>
      <c r="J116" s="0" t="n">
        <v>1</v>
      </c>
      <c r="K116" s="0" t="n">
        <v>0.565</v>
      </c>
      <c r="L116" s="0" t="n">
        <v>1</v>
      </c>
    </row>
    <row r="117" customFormat="false" ht="15" hidden="false" customHeight="false" outlineLevel="0" collapsed="false">
      <c r="A117" s="0" t="n">
        <v>0.57</v>
      </c>
      <c r="B117" s="0" t="n">
        <v>0.994570265056798</v>
      </c>
      <c r="C117" s="0" t="n">
        <v>0.57</v>
      </c>
      <c r="D117" s="0" t="n">
        <v>0.756911764705882</v>
      </c>
      <c r="E117" s="0" t="n">
        <v>0.57</v>
      </c>
      <c r="F117" s="0" t="n">
        <v>0.974765974765975</v>
      </c>
      <c r="G117" s="0" t="n">
        <v>0.57</v>
      </c>
      <c r="H117" s="0" t="n">
        <v>1</v>
      </c>
      <c r="I117" s="0" t="n">
        <v>0.57</v>
      </c>
      <c r="J117" s="0" t="n">
        <v>1</v>
      </c>
      <c r="K117" s="0" t="n">
        <v>0.57</v>
      </c>
      <c r="L117" s="0" t="n">
        <v>1</v>
      </c>
    </row>
    <row r="118" customFormat="false" ht="15" hidden="false" customHeight="false" outlineLevel="0" collapsed="false">
      <c r="A118" s="0" t="n">
        <v>0.575</v>
      </c>
      <c r="B118" s="0" t="n">
        <v>0.994784596699293</v>
      </c>
      <c r="C118" s="0" t="n">
        <v>0.575</v>
      </c>
      <c r="D118" s="0" t="n">
        <v>0.761323529411765</v>
      </c>
      <c r="E118" s="0" t="n">
        <v>0.575</v>
      </c>
      <c r="F118" s="0" t="n">
        <v>0.975298206067437</v>
      </c>
      <c r="G118" s="0" t="n">
        <v>0.575</v>
      </c>
      <c r="H118" s="0" t="n">
        <v>1</v>
      </c>
      <c r="I118" s="0" t="n">
        <v>0.575</v>
      </c>
      <c r="J118" s="0" t="n">
        <v>1</v>
      </c>
      <c r="K118" s="0" t="n">
        <v>0.575</v>
      </c>
      <c r="L118" s="0" t="n">
        <v>1</v>
      </c>
    </row>
    <row r="119" customFormat="false" ht="15" hidden="false" customHeight="false" outlineLevel="0" collapsed="false">
      <c r="A119" s="0" t="n">
        <v>0.58</v>
      </c>
      <c r="B119" s="0" t="n">
        <v>0.994784596699293</v>
      </c>
      <c r="C119" s="0" t="n">
        <v>0.58</v>
      </c>
      <c r="D119" s="0" t="n">
        <v>0.766911764705882</v>
      </c>
      <c r="E119" s="0" t="n">
        <v>0.58</v>
      </c>
      <c r="F119" s="0" t="n">
        <v>0.97609655301963</v>
      </c>
      <c r="G119" s="0" t="n">
        <v>0.58</v>
      </c>
      <c r="H119" s="0" t="n">
        <v>1</v>
      </c>
      <c r="I119" s="0" t="n">
        <v>0.58</v>
      </c>
      <c r="J119" s="0" t="n">
        <v>1</v>
      </c>
      <c r="K119" s="0" t="n">
        <v>0.58</v>
      </c>
      <c r="L119" s="0" t="n">
        <v>1</v>
      </c>
    </row>
    <row r="120" customFormat="false" ht="15" hidden="false" customHeight="false" outlineLevel="0" collapsed="false">
      <c r="A120" s="0" t="n">
        <v>0.585</v>
      </c>
      <c r="B120" s="0" t="n">
        <v>0.994927484460956</v>
      </c>
      <c r="C120" s="0" t="n">
        <v>0.585</v>
      </c>
      <c r="D120" s="0" t="n">
        <v>0.769705882352941</v>
      </c>
      <c r="E120" s="0" t="n">
        <v>0.585</v>
      </c>
      <c r="F120" s="0" t="n">
        <v>0.976879246110015</v>
      </c>
      <c r="G120" s="0" t="n">
        <v>0.585</v>
      </c>
      <c r="H120" s="0" t="n">
        <v>1</v>
      </c>
      <c r="I120" s="0" t="n">
        <v>0.585</v>
      </c>
      <c r="J120" s="0" t="n">
        <v>1</v>
      </c>
      <c r="K120" s="0" t="n">
        <v>0.585</v>
      </c>
      <c r="L120" s="0" t="n">
        <v>1</v>
      </c>
    </row>
    <row r="121" customFormat="false" ht="15" hidden="false" customHeight="false" outlineLevel="0" collapsed="false">
      <c r="A121" s="0" t="n">
        <v>0.59</v>
      </c>
      <c r="B121" s="0" t="n">
        <v>0.995070372222619</v>
      </c>
      <c r="C121" s="0" t="n">
        <v>0.59</v>
      </c>
      <c r="D121" s="0" t="n">
        <v>0.77264705882353</v>
      </c>
      <c r="E121" s="0" t="n">
        <v>0.59</v>
      </c>
      <c r="F121" s="0" t="n">
        <v>0.97759932375317</v>
      </c>
      <c r="G121" s="0" t="n">
        <v>0.59</v>
      </c>
      <c r="H121" s="0" t="n">
        <v>1</v>
      </c>
      <c r="I121" s="0" t="n">
        <v>0.59</v>
      </c>
      <c r="J121" s="0" t="n">
        <v>1</v>
      </c>
      <c r="K121" s="0" t="n">
        <v>0.59</v>
      </c>
      <c r="L121" s="0" t="n">
        <v>1</v>
      </c>
    </row>
    <row r="122" customFormat="false" ht="15" hidden="false" customHeight="false" outlineLevel="0" collapsed="false">
      <c r="A122" s="0" t="n">
        <v>0.595</v>
      </c>
      <c r="B122" s="0" t="n">
        <v>0.995141816103451</v>
      </c>
      <c r="C122" s="0" t="n">
        <v>0.595</v>
      </c>
      <c r="D122" s="0" t="n">
        <v>0.776617647058824</v>
      </c>
      <c r="E122" s="0" t="n">
        <v>0.595</v>
      </c>
      <c r="F122" s="0" t="n">
        <v>0.97814720891644</v>
      </c>
      <c r="G122" s="0" t="n">
        <v>0.595</v>
      </c>
      <c r="H122" s="0" t="n">
        <v>1</v>
      </c>
      <c r="I122" s="0" t="n">
        <v>0.595</v>
      </c>
      <c r="J122" s="0" t="n">
        <v>1</v>
      </c>
      <c r="K122" s="0" t="n">
        <v>0.595</v>
      </c>
      <c r="L122" s="0" t="n">
        <v>1</v>
      </c>
    </row>
    <row r="123" customFormat="false" ht="15" hidden="false" customHeight="false" outlineLevel="0" collapsed="false">
      <c r="A123" s="0" t="n">
        <v>0.6</v>
      </c>
      <c r="B123" s="0" t="n">
        <v>0.995284703865114</v>
      </c>
      <c r="C123" s="0" t="n">
        <v>0.6</v>
      </c>
      <c r="D123" s="0" t="n">
        <v>0.779411764705882</v>
      </c>
      <c r="E123" s="0" t="n">
        <v>0.6</v>
      </c>
      <c r="F123" s="0" t="n">
        <v>0.979086440624902</v>
      </c>
      <c r="G123" s="0" t="n">
        <v>0.6</v>
      </c>
      <c r="H123" s="0" t="n">
        <v>1</v>
      </c>
      <c r="I123" s="0" t="n">
        <v>0.6</v>
      </c>
      <c r="J123" s="0" t="n">
        <v>1</v>
      </c>
      <c r="K123" s="0" t="n">
        <v>0.6</v>
      </c>
      <c r="L123" s="0" t="n">
        <v>1</v>
      </c>
    </row>
    <row r="124" customFormat="false" ht="15" hidden="false" customHeight="false" outlineLevel="0" collapsed="false">
      <c r="A124" s="0" t="n">
        <v>0.605</v>
      </c>
      <c r="B124" s="0" t="n">
        <v>0.995427591626777</v>
      </c>
      <c r="C124" s="0" t="n">
        <v>0.605</v>
      </c>
      <c r="D124" s="0" t="n">
        <v>0.782794117647059</v>
      </c>
      <c r="E124" s="0" t="n">
        <v>0.605</v>
      </c>
      <c r="F124" s="0" t="n">
        <v>0.979743902820826</v>
      </c>
      <c r="G124" s="0" t="n">
        <v>0.605</v>
      </c>
      <c r="H124" s="0" t="n">
        <v>1</v>
      </c>
      <c r="I124" s="0" t="n">
        <v>0.605</v>
      </c>
      <c r="J124" s="0" t="n">
        <v>1</v>
      </c>
      <c r="K124" s="0" t="n">
        <v>0.605</v>
      </c>
      <c r="L124" s="0" t="n">
        <v>1</v>
      </c>
    </row>
    <row r="125" customFormat="false" ht="15" hidden="false" customHeight="false" outlineLevel="0" collapsed="false">
      <c r="A125" s="0" t="n">
        <v>0.61</v>
      </c>
      <c r="B125" s="0" t="n">
        <v>0.995427591626777</v>
      </c>
      <c r="C125" s="0" t="n">
        <v>0.61</v>
      </c>
      <c r="D125" s="0" t="n">
        <v>0.785588235294118</v>
      </c>
      <c r="E125" s="0" t="n">
        <v>0.61</v>
      </c>
      <c r="F125" s="0" t="n">
        <v>0.980323095707711</v>
      </c>
      <c r="G125" s="0" t="n">
        <v>0.61</v>
      </c>
      <c r="H125" s="0" t="n">
        <v>1</v>
      </c>
      <c r="I125" s="0" t="n">
        <v>0.61</v>
      </c>
      <c r="J125" s="0" t="n">
        <v>1</v>
      </c>
      <c r="K125" s="0" t="n">
        <v>0.61</v>
      </c>
      <c r="L125" s="0" t="n">
        <v>1</v>
      </c>
    </row>
    <row r="126" customFormat="false" ht="15" hidden="false" customHeight="false" outlineLevel="0" collapsed="false">
      <c r="A126" s="0" t="n">
        <v>0.615</v>
      </c>
      <c r="B126" s="0" t="n">
        <v>0.995427591626777</v>
      </c>
      <c r="C126" s="0" t="n">
        <v>0.615</v>
      </c>
      <c r="D126" s="0" t="n">
        <v>0.791176470588235</v>
      </c>
      <c r="E126" s="0" t="n">
        <v>0.615</v>
      </c>
      <c r="F126" s="0" t="n">
        <v>0.980651826805673</v>
      </c>
      <c r="G126" s="0" t="n">
        <v>0.615</v>
      </c>
      <c r="H126" s="0" t="n">
        <v>1</v>
      </c>
      <c r="I126" s="0" t="n">
        <v>0.615</v>
      </c>
      <c r="J126" s="0" t="n">
        <v>1</v>
      </c>
      <c r="K126" s="0" t="n">
        <v>0.615</v>
      </c>
      <c r="L126" s="0" t="n">
        <v>1</v>
      </c>
    </row>
    <row r="127" customFormat="false" ht="15" hidden="false" customHeight="false" outlineLevel="0" collapsed="false">
      <c r="A127" s="0" t="n">
        <v>0.62</v>
      </c>
      <c r="B127" s="0" t="n">
        <v>0.995784811030935</v>
      </c>
      <c r="C127" s="0" t="n">
        <v>0.62</v>
      </c>
      <c r="D127" s="0" t="n">
        <v>0.795882352941177</v>
      </c>
      <c r="E127" s="0" t="n">
        <v>0.62</v>
      </c>
      <c r="F127" s="0" t="n">
        <v>0.98115275038352</v>
      </c>
      <c r="G127" s="0" t="n">
        <v>0.62</v>
      </c>
      <c r="H127" s="0" t="n">
        <v>1</v>
      </c>
      <c r="I127" s="0" t="n">
        <v>0.62</v>
      </c>
      <c r="J127" s="0" t="n">
        <v>1</v>
      </c>
      <c r="K127" s="0" t="n">
        <v>0.62</v>
      </c>
      <c r="L127" s="0" t="n">
        <v>1</v>
      </c>
    </row>
    <row r="128" customFormat="false" ht="15" hidden="false" customHeight="false" outlineLevel="0" collapsed="false">
      <c r="A128" s="0" t="n">
        <v>0.625</v>
      </c>
      <c r="B128" s="0" t="n">
        <v>0.995927698792599</v>
      </c>
      <c r="C128" s="0" t="n">
        <v>0.625</v>
      </c>
      <c r="D128" s="0" t="n">
        <v>0.798970588235294</v>
      </c>
      <c r="E128" s="0" t="n">
        <v>0.625</v>
      </c>
      <c r="F128" s="0" t="n">
        <v>0.981700635546789</v>
      </c>
      <c r="G128" s="0" t="n">
        <v>0.625</v>
      </c>
      <c r="H128" s="0" t="n">
        <v>1</v>
      </c>
      <c r="I128" s="0" t="n">
        <v>0.625</v>
      </c>
      <c r="J128" s="0" t="n">
        <v>1</v>
      </c>
      <c r="K128" s="0" t="n">
        <v>0.625</v>
      </c>
      <c r="L128" s="0" t="n">
        <v>1</v>
      </c>
    </row>
    <row r="129" customFormat="false" ht="15" hidden="false" customHeight="false" outlineLevel="0" collapsed="false">
      <c r="A129" s="0" t="n">
        <v>0.63</v>
      </c>
      <c r="B129" s="0" t="n">
        <v>0.996070586554262</v>
      </c>
      <c r="C129" s="0" t="n">
        <v>0.63</v>
      </c>
      <c r="D129" s="0" t="n">
        <v>0.802352941176471</v>
      </c>
      <c r="E129" s="0" t="n">
        <v>0.63</v>
      </c>
      <c r="F129" s="0" t="n">
        <v>0.982123289815598</v>
      </c>
      <c r="G129" s="0" t="n">
        <v>0.63</v>
      </c>
      <c r="H129" s="0" t="n">
        <v>1</v>
      </c>
      <c r="I129" s="0" t="n">
        <v>0.63</v>
      </c>
      <c r="J129" s="0" t="n">
        <v>1</v>
      </c>
      <c r="K129" s="0" t="n">
        <v>0.63</v>
      </c>
      <c r="L129" s="0" t="n">
        <v>1</v>
      </c>
    </row>
    <row r="130" customFormat="false" ht="15" hidden="false" customHeight="false" outlineLevel="0" collapsed="false">
      <c r="A130" s="0" t="n">
        <v>0.635</v>
      </c>
      <c r="B130" s="0" t="n">
        <v>0.996213474315925</v>
      </c>
      <c r="C130" s="0" t="n">
        <v>0.635</v>
      </c>
      <c r="D130" s="0" t="n">
        <v>0.805441176470588</v>
      </c>
      <c r="E130" s="0" t="n">
        <v>0.635</v>
      </c>
      <c r="F130" s="0" t="n">
        <v>0.982498982498983</v>
      </c>
      <c r="G130" s="0" t="n">
        <v>0.635</v>
      </c>
      <c r="H130" s="0" t="n">
        <v>1</v>
      </c>
      <c r="I130" s="0" t="n">
        <v>0.635</v>
      </c>
      <c r="J130" s="0" t="n">
        <v>1</v>
      </c>
      <c r="K130" s="0" t="n">
        <v>0.635</v>
      </c>
      <c r="L130" s="0" t="n">
        <v>1</v>
      </c>
    </row>
    <row r="131" customFormat="false" ht="15" hidden="false" customHeight="false" outlineLevel="0" collapsed="false">
      <c r="A131" s="0" t="n">
        <v>0.64</v>
      </c>
      <c r="B131" s="0" t="n">
        <v>0.996213474315925</v>
      </c>
      <c r="C131" s="0" t="n">
        <v>0.64</v>
      </c>
      <c r="D131" s="0" t="n">
        <v>0.807647058823529</v>
      </c>
      <c r="E131" s="0" t="n">
        <v>0.64</v>
      </c>
      <c r="F131" s="0" t="n">
        <v>0.983187752418522</v>
      </c>
      <c r="G131" s="0" t="n">
        <v>0.64</v>
      </c>
      <c r="H131" s="0" t="n">
        <v>1</v>
      </c>
      <c r="I131" s="0" t="n">
        <v>0.64</v>
      </c>
      <c r="J131" s="0" t="n">
        <v>1</v>
      </c>
      <c r="K131" s="0" t="n">
        <v>0.64</v>
      </c>
      <c r="L131" s="0" t="n">
        <v>1</v>
      </c>
    </row>
    <row r="132" customFormat="false" ht="15" hidden="false" customHeight="false" outlineLevel="0" collapsed="false">
      <c r="A132" s="0" t="n">
        <v>0.645</v>
      </c>
      <c r="B132" s="0" t="n">
        <v>0.996213474315925</v>
      </c>
      <c r="C132" s="0" t="n">
        <v>0.645</v>
      </c>
      <c r="D132" s="0" t="n">
        <v>0.810441176470588</v>
      </c>
      <c r="E132" s="0" t="n">
        <v>0.645</v>
      </c>
      <c r="F132" s="0" t="n">
        <v>0.983673022134561</v>
      </c>
      <c r="G132" s="0" t="n">
        <v>0.645</v>
      </c>
      <c r="H132" s="0" t="n">
        <v>1</v>
      </c>
      <c r="I132" s="0" t="n">
        <v>0.645</v>
      </c>
      <c r="J132" s="0" t="n">
        <v>1</v>
      </c>
      <c r="K132" s="0" t="n">
        <v>0.645</v>
      </c>
      <c r="L132" s="0" t="n">
        <v>1</v>
      </c>
    </row>
    <row r="133" customFormat="false" ht="15" hidden="false" customHeight="false" outlineLevel="0" collapsed="false">
      <c r="A133" s="0" t="n">
        <v>0.65</v>
      </c>
      <c r="B133" s="0" t="n">
        <v>0.996213474315925</v>
      </c>
      <c r="C133" s="0" t="n">
        <v>0.65</v>
      </c>
      <c r="D133" s="0" t="n">
        <v>0.812941176470588</v>
      </c>
      <c r="E133" s="0" t="n">
        <v>0.65</v>
      </c>
      <c r="F133" s="0" t="n">
        <v>0.984377445915908</v>
      </c>
      <c r="G133" s="0" t="n">
        <v>0.65</v>
      </c>
      <c r="H133" s="0" t="n">
        <v>1</v>
      </c>
      <c r="I133" s="0" t="n">
        <v>0.65</v>
      </c>
      <c r="J133" s="0" t="n">
        <v>1</v>
      </c>
      <c r="K133" s="0" t="n">
        <v>0.65</v>
      </c>
      <c r="L133" s="0" t="n">
        <v>1</v>
      </c>
    </row>
    <row r="134" customFormat="false" ht="15" hidden="false" customHeight="false" outlineLevel="0" collapsed="false">
      <c r="A134" s="0" t="n">
        <v>0.655</v>
      </c>
      <c r="B134" s="0" t="n">
        <v>0.99642780595842</v>
      </c>
      <c r="C134" s="0" t="n">
        <v>0.655</v>
      </c>
      <c r="D134" s="0" t="n">
        <v>0.817058823529412</v>
      </c>
      <c r="E134" s="0" t="n">
        <v>0.655</v>
      </c>
      <c r="F134" s="0" t="n">
        <v>0.984800100184716</v>
      </c>
      <c r="G134" s="0" t="n">
        <v>0.655</v>
      </c>
      <c r="H134" s="0" t="n">
        <v>1</v>
      </c>
      <c r="I134" s="0" t="n">
        <v>0.655</v>
      </c>
      <c r="J134" s="0" t="n">
        <v>1</v>
      </c>
      <c r="K134" s="0" t="n">
        <v>0.655</v>
      </c>
      <c r="L134" s="0" t="n">
        <v>1</v>
      </c>
    </row>
    <row r="135" customFormat="false" ht="15" hidden="false" customHeight="false" outlineLevel="0" collapsed="false">
      <c r="A135" s="0" t="n">
        <v>0.66</v>
      </c>
      <c r="B135" s="0" t="n">
        <v>0.99642780595842</v>
      </c>
      <c r="C135" s="0" t="n">
        <v>0.66</v>
      </c>
      <c r="D135" s="0" t="n">
        <v>0.821911764705882</v>
      </c>
      <c r="E135" s="0" t="n">
        <v>0.66</v>
      </c>
      <c r="F135" s="0" t="n">
        <v>0.985207100591716</v>
      </c>
      <c r="G135" s="0" t="n">
        <v>0.66</v>
      </c>
      <c r="H135" s="0" t="n">
        <v>1</v>
      </c>
      <c r="I135" s="0" t="n">
        <v>0.66</v>
      </c>
      <c r="J135" s="0" t="n">
        <v>1</v>
      </c>
      <c r="K135" s="0" t="n">
        <v>0.66</v>
      </c>
      <c r="L135" s="0" t="n">
        <v>1</v>
      </c>
    </row>
    <row r="136" customFormat="false" ht="15" hidden="false" customHeight="false" outlineLevel="0" collapsed="false">
      <c r="A136" s="0" t="n">
        <v>0.665</v>
      </c>
      <c r="B136" s="0" t="n">
        <v>0.996499249839251</v>
      </c>
      <c r="C136" s="0" t="n">
        <v>0.665</v>
      </c>
      <c r="D136" s="0" t="n">
        <v>0.826029411764706</v>
      </c>
      <c r="E136" s="0" t="n">
        <v>0.665</v>
      </c>
      <c r="F136" s="0" t="n">
        <v>0.985629754860524</v>
      </c>
      <c r="G136" s="0" t="n">
        <v>0.665</v>
      </c>
      <c r="H136" s="0" t="n">
        <v>1</v>
      </c>
      <c r="I136" s="0" t="n">
        <v>0.665</v>
      </c>
      <c r="J136" s="0" t="n">
        <v>1</v>
      </c>
      <c r="K136" s="0" t="n">
        <v>0.665</v>
      </c>
      <c r="L136" s="0" t="n">
        <v>1</v>
      </c>
    </row>
    <row r="137" customFormat="false" ht="15" hidden="false" customHeight="false" outlineLevel="0" collapsed="false">
      <c r="A137" s="0" t="n">
        <v>0.67</v>
      </c>
      <c r="B137" s="0" t="n">
        <v>0.996499249839251</v>
      </c>
      <c r="C137" s="0" t="n">
        <v>0.67</v>
      </c>
      <c r="D137" s="0" t="n">
        <v>0.829852941176471</v>
      </c>
      <c r="E137" s="0" t="n">
        <v>0.67</v>
      </c>
      <c r="F137" s="0" t="n">
        <v>0.986036755267525</v>
      </c>
      <c r="G137" s="0" t="n">
        <v>0.67</v>
      </c>
      <c r="H137" s="0" t="n">
        <v>1</v>
      </c>
      <c r="I137" s="0" t="n">
        <v>0.67</v>
      </c>
      <c r="J137" s="0" t="n">
        <v>1</v>
      </c>
      <c r="K137" s="0" t="n">
        <v>0.67</v>
      </c>
      <c r="L137" s="0" t="n">
        <v>1</v>
      </c>
    </row>
    <row r="138" customFormat="false" ht="15" hidden="false" customHeight="false" outlineLevel="0" collapsed="false">
      <c r="A138" s="0" t="n">
        <v>0.675</v>
      </c>
      <c r="B138" s="0" t="n">
        <v>0.996713581481746</v>
      </c>
      <c r="C138" s="0" t="n">
        <v>0.675</v>
      </c>
      <c r="D138" s="0" t="n">
        <v>0.833235294117647</v>
      </c>
      <c r="E138" s="0" t="n">
        <v>0.675</v>
      </c>
      <c r="F138" s="0" t="n">
        <v>0.986490717259948</v>
      </c>
      <c r="G138" s="0" t="n">
        <v>0.675</v>
      </c>
      <c r="H138" s="0" t="n">
        <v>1</v>
      </c>
      <c r="I138" s="0" t="n">
        <v>0.675</v>
      </c>
      <c r="J138" s="0" t="n">
        <v>1</v>
      </c>
      <c r="K138" s="0" t="n">
        <v>0.675</v>
      </c>
      <c r="L138" s="0" t="n">
        <v>1</v>
      </c>
    </row>
    <row r="139" customFormat="false" ht="15" hidden="false" customHeight="false" outlineLevel="0" collapsed="false">
      <c r="A139" s="0" t="n">
        <v>0.68</v>
      </c>
      <c r="B139" s="0" t="n">
        <v>0.996785025362578</v>
      </c>
      <c r="C139" s="0" t="n">
        <v>0.68</v>
      </c>
      <c r="D139" s="0" t="n">
        <v>0.836323529411765</v>
      </c>
      <c r="E139" s="0" t="n">
        <v>0.68</v>
      </c>
      <c r="F139" s="0" t="n">
        <v>0.987085564008641</v>
      </c>
      <c r="G139" s="0" t="n">
        <v>0.68</v>
      </c>
      <c r="H139" s="0" t="n">
        <v>1</v>
      </c>
      <c r="I139" s="0" t="n">
        <v>0.68</v>
      </c>
      <c r="J139" s="0" t="n">
        <v>1</v>
      </c>
      <c r="K139" s="0" t="n">
        <v>0.68</v>
      </c>
      <c r="L139" s="0" t="n">
        <v>1</v>
      </c>
    </row>
    <row r="140" customFormat="false" ht="15" hidden="false" customHeight="false" outlineLevel="0" collapsed="false">
      <c r="A140" s="0" t="n">
        <v>0.685</v>
      </c>
      <c r="B140" s="0" t="n">
        <v>0.996856469243409</v>
      </c>
      <c r="C140" s="0" t="n">
        <v>0.685</v>
      </c>
      <c r="D140" s="0" t="n">
        <v>0.838088235294118</v>
      </c>
      <c r="E140" s="0" t="n">
        <v>0.685</v>
      </c>
      <c r="F140" s="0" t="n">
        <v>0.987633449171911</v>
      </c>
      <c r="G140" s="0" t="n">
        <v>0.685</v>
      </c>
      <c r="H140" s="0" t="n">
        <v>1</v>
      </c>
      <c r="I140" s="0" t="n">
        <v>0.685</v>
      </c>
      <c r="J140" s="0" t="n">
        <v>1</v>
      </c>
      <c r="K140" s="0" t="n">
        <v>0.685</v>
      </c>
      <c r="L140" s="0" t="n">
        <v>1</v>
      </c>
    </row>
    <row r="141" customFormat="false" ht="15" hidden="false" customHeight="false" outlineLevel="0" collapsed="false">
      <c r="A141" s="0" t="n">
        <v>0.69</v>
      </c>
      <c r="B141" s="0" t="n">
        <v>0.996927913124241</v>
      </c>
      <c r="C141" s="0" t="n">
        <v>0.69</v>
      </c>
      <c r="D141" s="0" t="n">
        <v>0.840735294117647</v>
      </c>
      <c r="E141" s="0" t="n">
        <v>0.69</v>
      </c>
      <c r="F141" s="0" t="n">
        <v>0.988134372749757</v>
      </c>
      <c r="G141" s="0" t="n">
        <v>0.69</v>
      </c>
      <c r="H141" s="0" t="n">
        <v>1</v>
      </c>
      <c r="I141" s="0" t="n">
        <v>0.69</v>
      </c>
      <c r="J141" s="0" t="n">
        <v>1</v>
      </c>
      <c r="K141" s="0" t="n">
        <v>0.69</v>
      </c>
      <c r="L141" s="0" t="n">
        <v>1</v>
      </c>
    </row>
    <row r="142" customFormat="false" ht="15" hidden="false" customHeight="false" outlineLevel="0" collapsed="false">
      <c r="A142" s="0" t="n">
        <v>0.695</v>
      </c>
      <c r="B142" s="0" t="n">
        <v>0.997070800885904</v>
      </c>
      <c r="C142" s="0" t="n">
        <v>0.695</v>
      </c>
      <c r="D142" s="0" t="n">
        <v>0.845147058823529</v>
      </c>
      <c r="E142" s="0" t="n">
        <v>0.695</v>
      </c>
      <c r="F142" s="0" t="n">
        <v>0.988541373156758</v>
      </c>
      <c r="G142" s="0" t="n">
        <v>0.695</v>
      </c>
      <c r="H142" s="0" t="n">
        <v>1</v>
      </c>
      <c r="I142" s="0" t="n">
        <v>0.695</v>
      </c>
      <c r="J142" s="0" t="n">
        <v>1</v>
      </c>
      <c r="K142" s="0" t="n">
        <v>0.695</v>
      </c>
      <c r="L142" s="0" t="n">
        <v>1</v>
      </c>
    </row>
    <row r="143" customFormat="false" ht="15" hidden="false" customHeight="false" outlineLevel="0" collapsed="false">
      <c r="A143" s="0" t="n">
        <v>0.7</v>
      </c>
      <c r="B143" s="0" t="n">
        <v>0.997070800885904</v>
      </c>
      <c r="C143" s="0" t="n">
        <v>0.7</v>
      </c>
      <c r="D143" s="0" t="n">
        <v>0.848529411764706</v>
      </c>
      <c r="E143" s="0" t="n">
        <v>0.7</v>
      </c>
      <c r="F143" s="0" t="n">
        <v>0.988823142669297</v>
      </c>
      <c r="G143" s="0" t="n">
        <v>0.7</v>
      </c>
      <c r="H143" s="0" t="n">
        <v>1</v>
      </c>
      <c r="I143" s="0" t="n">
        <v>0.7</v>
      </c>
      <c r="J143" s="0" t="n">
        <v>1</v>
      </c>
      <c r="K143" s="0" t="n">
        <v>0.7</v>
      </c>
      <c r="L143" s="0" t="n">
        <v>1</v>
      </c>
    </row>
    <row r="144" customFormat="false" ht="15" hidden="false" customHeight="false" outlineLevel="0" collapsed="false">
      <c r="A144" s="0" t="n">
        <v>0.705</v>
      </c>
      <c r="B144" s="0" t="n">
        <v>0.997070800885904</v>
      </c>
      <c r="C144" s="0" t="n">
        <v>0.705</v>
      </c>
      <c r="D144" s="0" t="n">
        <v>0.851323529411765</v>
      </c>
      <c r="E144" s="0" t="n">
        <v>0.705</v>
      </c>
      <c r="F144" s="0" t="n">
        <v>0.989308412385336</v>
      </c>
      <c r="G144" s="0" t="n">
        <v>0.705</v>
      </c>
      <c r="H144" s="0" t="n">
        <v>1</v>
      </c>
      <c r="I144" s="0" t="n">
        <v>0.705</v>
      </c>
      <c r="J144" s="0" t="n">
        <v>1</v>
      </c>
      <c r="K144" s="0" t="n">
        <v>0.705</v>
      </c>
      <c r="L144" s="0" t="n">
        <v>1</v>
      </c>
    </row>
    <row r="145" customFormat="false" ht="15" hidden="false" customHeight="false" outlineLevel="0" collapsed="false">
      <c r="A145" s="0" t="n">
        <v>0.71</v>
      </c>
      <c r="B145" s="0" t="n">
        <v>0.997213688647567</v>
      </c>
      <c r="C145" s="0" t="n">
        <v>0.71</v>
      </c>
      <c r="D145" s="0" t="n">
        <v>0.855735294117647</v>
      </c>
      <c r="E145" s="0" t="n">
        <v>0.71</v>
      </c>
      <c r="F145" s="0" t="n">
        <v>0.989965874581259</v>
      </c>
      <c r="G145" s="0" t="n">
        <v>0.71</v>
      </c>
      <c r="H145" s="0" t="n">
        <v>1</v>
      </c>
      <c r="I145" s="0" t="n">
        <v>0.71</v>
      </c>
      <c r="J145" s="0" t="n">
        <v>1</v>
      </c>
      <c r="K145" s="0" t="n">
        <v>0.71</v>
      </c>
      <c r="L145" s="0" t="n">
        <v>1</v>
      </c>
    </row>
    <row r="146" customFormat="false" ht="15" hidden="false" customHeight="false" outlineLevel="0" collapsed="false">
      <c r="A146" s="0" t="n">
        <v>0.715</v>
      </c>
      <c r="B146" s="0" t="n">
        <v>0.997285132528399</v>
      </c>
      <c r="C146" s="0" t="n">
        <v>0.715</v>
      </c>
      <c r="D146" s="0" t="n">
        <v>0.858676470588235</v>
      </c>
      <c r="E146" s="0" t="n">
        <v>0.715</v>
      </c>
      <c r="F146" s="0" t="n">
        <v>0.990310259541029</v>
      </c>
      <c r="G146" s="0" t="n">
        <v>0.715</v>
      </c>
      <c r="H146" s="0" t="n">
        <v>1</v>
      </c>
      <c r="I146" s="0" t="n">
        <v>0.715</v>
      </c>
      <c r="J146" s="0" t="n">
        <v>1</v>
      </c>
      <c r="K146" s="0" t="n">
        <v>0.715</v>
      </c>
      <c r="L146" s="0" t="n">
        <v>1</v>
      </c>
    </row>
    <row r="147" customFormat="false" ht="15" hidden="false" customHeight="false" outlineLevel="0" collapsed="false">
      <c r="A147" s="0" t="n">
        <v>0.72</v>
      </c>
      <c r="B147" s="0" t="n">
        <v>0.997499464170894</v>
      </c>
      <c r="C147" s="0" t="n">
        <v>0.72</v>
      </c>
      <c r="D147" s="0" t="n">
        <v>0.863088235294118</v>
      </c>
      <c r="E147" s="0" t="n">
        <v>0.72</v>
      </c>
      <c r="F147" s="0" t="n">
        <v>0.990529413606337</v>
      </c>
      <c r="G147" s="0" t="n">
        <v>0.72</v>
      </c>
      <c r="H147" s="0" t="n">
        <v>1</v>
      </c>
      <c r="I147" s="0" t="n">
        <v>0.72</v>
      </c>
      <c r="J147" s="0" t="n">
        <v>1</v>
      </c>
      <c r="K147" s="0" t="n">
        <v>0.72</v>
      </c>
      <c r="L147" s="0" t="n">
        <v>1</v>
      </c>
    </row>
    <row r="148" customFormat="false" ht="15" hidden="false" customHeight="false" outlineLevel="0" collapsed="false">
      <c r="A148" s="0" t="n">
        <v>0.725</v>
      </c>
      <c r="B148" s="0" t="n">
        <v>0.997642351932557</v>
      </c>
      <c r="C148" s="0" t="n">
        <v>0.725</v>
      </c>
      <c r="D148" s="0" t="n">
        <v>0.864264705882353</v>
      </c>
      <c r="E148" s="0" t="n">
        <v>0.725</v>
      </c>
      <c r="F148" s="0" t="n">
        <v>0.990748567671645</v>
      </c>
      <c r="G148" s="0" t="n">
        <v>0.725</v>
      </c>
      <c r="H148" s="0" t="n">
        <v>1</v>
      </c>
      <c r="I148" s="0" t="n">
        <v>0.725</v>
      </c>
      <c r="J148" s="0" t="n">
        <v>1</v>
      </c>
      <c r="K148" s="0" t="n">
        <v>0.725</v>
      </c>
      <c r="L148" s="0" t="n">
        <v>1</v>
      </c>
    </row>
    <row r="149" customFormat="false" ht="15" hidden="false" customHeight="false" outlineLevel="0" collapsed="false">
      <c r="A149" s="0" t="n">
        <v>0.73</v>
      </c>
      <c r="B149" s="0" t="n">
        <v>0.997713795813389</v>
      </c>
      <c r="C149" s="0" t="n">
        <v>0.73</v>
      </c>
      <c r="D149" s="0" t="n">
        <v>0.870294117647059</v>
      </c>
      <c r="E149" s="0" t="n">
        <v>0.73</v>
      </c>
      <c r="F149" s="0" t="n">
        <v>0.991139914216837</v>
      </c>
      <c r="G149" s="0" t="n">
        <v>0.73</v>
      </c>
      <c r="H149" s="0" t="n">
        <v>1</v>
      </c>
      <c r="I149" s="0" t="n">
        <v>0.73</v>
      </c>
      <c r="J149" s="0" t="n">
        <v>1</v>
      </c>
      <c r="K149" s="0" t="n">
        <v>0.73</v>
      </c>
      <c r="L149" s="0" t="n">
        <v>1</v>
      </c>
    </row>
    <row r="150" customFormat="false" ht="15" hidden="false" customHeight="false" outlineLevel="0" collapsed="false">
      <c r="A150" s="0" t="n">
        <v>0.735</v>
      </c>
      <c r="B150" s="0" t="n">
        <v>0.997856683575052</v>
      </c>
      <c r="C150" s="0" t="n">
        <v>0.735</v>
      </c>
      <c r="D150" s="0" t="n">
        <v>0.871617647058824</v>
      </c>
      <c r="E150" s="0" t="n">
        <v>0.735</v>
      </c>
      <c r="F150" s="0" t="n">
        <v>0.991452991452992</v>
      </c>
      <c r="G150" s="0" t="n">
        <v>0.735</v>
      </c>
      <c r="H150" s="0" t="n">
        <v>1</v>
      </c>
      <c r="I150" s="0" t="n">
        <v>0.735</v>
      </c>
      <c r="J150" s="0" t="n">
        <v>1</v>
      </c>
      <c r="K150" s="0" t="n">
        <v>0.735</v>
      </c>
      <c r="L150" s="0" t="n">
        <v>1</v>
      </c>
    </row>
    <row r="151" customFormat="false" ht="15" hidden="false" customHeight="false" outlineLevel="0" collapsed="false">
      <c r="A151" s="0" t="n">
        <v>0.74</v>
      </c>
      <c r="B151" s="0" t="n">
        <v>0.997999571336715</v>
      </c>
      <c r="C151" s="0" t="n">
        <v>0.74</v>
      </c>
      <c r="D151" s="0" t="n">
        <v>0.874705882352941</v>
      </c>
      <c r="E151" s="0" t="n">
        <v>0.74</v>
      </c>
      <c r="F151" s="0" t="n">
        <v>0.991766068689146</v>
      </c>
      <c r="G151" s="0" t="n">
        <v>0.74</v>
      </c>
      <c r="H151" s="0" t="n">
        <v>1</v>
      </c>
      <c r="I151" s="0" t="n">
        <v>0.74</v>
      </c>
      <c r="J151" s="0" t="n">
        <v>1</v>
      </c>
      <c r="K151" s="0" t="n">
        <v>0.74</v>
      </c>
      <c r="L151" s="0" t="n">
        <v>1</v>
      </c>
    </row>
    <row r="152" customFormat="false" ht="15" hidden="false" customHeight="false" outlineLevel="0" collapsed="false">
      <c r="A152" s="0" t="n">
        <v>0.745</v>
      </c>
      <c r="B152" s="0" t="n">
        <v>0.997999571336715</v>
      </c>
      <c r="C152" s="0" t="n">
        <v>0.745</v>
      </c>
      <c r="D152" s="0" t="n">
        <v>0.876764705882353</v>
      </c>
      <c r="E152" s="0" t="n">
        <v>0.745</v>
      </c>
      <c r="F152" s="0" t="n">
        <v>0.992032184339877</v>
      </c>
      <c r="G152" s="0" t="n">
        <v>0.745</v>
      </c>
      <c r="H152" s="0" t="n">
        <v>1</v>
      </c>
      <c r="I152" s="0" t="n">
        <v>0.745</v>
      </c>
      <c r="J152" s="0" t="n">
        <v>1</v>
      </c>
      <c r="K152" s="0" t="n">
        <v>0.745</v>
      </c>
      <c r="L152" s="0" t="n">
        <v>1</v>
      </c>
    </row>
    <row r="153" customFormat="false" ht="15" hidden="false" customHeight="false" outlineLevel="0" collapsed="false">
      <c r="A153" s="0" t="n">
        <v>0.75</v>
      </c>
      <c r="B153" s="0" t="n">
        <v>0.998071015217547</v>
      </c>
      <c r="C153" s="0" t="n">
        <v>0.75</v>
      </c>
      <c r="D153" s="0" t="n">
        <v>0.881029411764706</v>
      </c>
      <c r="E153" s="0" t="n">
        <v>0.75</v>
      </c>
      <c r="F153" s="0" t="n">
        <v>0.992407877023262</v>
      </c>
      <c r="G153" s="0" t="n">
        <v>0.75</v>
      </c>
      <c r="H153" s="0" t="n">
        <v>1</v>
      </c>
      <c r="I153" s="0" t="n">
        <v>0.75</v>
      </c>
      <c r="J153" s="0" t="n">
        <v>1</v>
      </c>
      <c r="K153" s="0" t="n">
        <v>0.75</v>
      </c>
      <c r="L153" s="0" t="n">
        <v>1</v>
      </c>
    </row>
    <row r="154" customFormat="false" ht="15" hidden="false" customHeight="false" outlineLevel="0" collapsed="false">
      <c r="A154" s="0" t="n">
        <v>0.755</v>
      </c>
      <c r="B154" s="0" t="n">
        <v>0.998071015217547</v>
      </c>
      <c r="C154" s="0" t="n">
        <v>0.755</v>
      </c>
      <c r="D154" s="0" t="n">
        <v>0.884411764705882</v>
      </c>
      <c r="E154" s="0" t="n">
        <v>0.755</v>
      </c>
      <c r="F154" s="0" t="n">
        <v>0.992658338812185</v>
      </c>
      <c r="G154" s="0" t="n">
        <v>0.755</v>
      </c>
      <c r="H154" s="0" t="n">
        <v>1</v>
      </c>
      <c r="I154" s="0" t="n">
        <v>0.755</v>
      </c>
      <c r="J154" s="0" t="n">
        <v>1</v>
      </c>
      <c r="K154" s="0" t="n">
        <v>0.755</v>
      </c>
      <c r="L154" s="0" t="n">
        <v>1</v>
      </c>
    </row>
    <row r="155" customFormat="false" ht="15" hidden="false" customHeight="false" outlineLevel="0" collapsed="false">
      <c r="A155" s="0" t="n">
        <v>0.76</v>
      </c>
      <c r="B155" s="0" t="n">
        <v>0.998071015217547</v>
      </c>
      <c r="C155" s="0" t="n">
        <v>0.76</v>
      </c>
      <c r="D155" s="0" t="n">
        <v>0.886470588235294</v>
      </c>
      <c r="E155" s="0" t="n">
        <v>0.76</v>
      </c>
      <c r="F155" s="0" t="n">
        <v>0.993002723771955</v>
      </c>
      <c r="G155" s="0" t="n">
        <v>0.76</v>
      </c>
      <c r="H155" s="0" t="n">
        <v>1</v>
      </c>
      <c r="I155" s="0" t="n">
        <v>0.76</v>
      </c>
      <c r="J155" s="0" t="n">
        <v>1</v>
      </c>
      <c r="K155" s="0" t="n">
        <v>0.76</v>
      </c>
      <c r="L155" s="0" t="n">
        <v>1</v>
      </c>
    </row>
    <row r="156" customFormat="false" ht="15" hidden="false" customHeight="false" outlineLevel="0" collapsed="false">
      <c r="A156" s="0" t="n">
        <v>0.765</v>
      </c>
      <c r="B156" s="0" t="n">
        <v>0.998071015217547</v>
      </c>
      <c r="C156" s="0" t="n">
        <v>0.765</v>
      </c>
      <c r="D156" s="0" t="n">
        <v>0.890441176470588</v>
      </c>
      <c r="E156" s="0" t="n">
        <v>0.765</v>
      </c>
      <c r="F156" s="0" t="n">
        <v>0.993300147146301</v>
      </c>
      <c r="G156" s="0" t="n">
        <v>0.765</v>
      </c>
      <c r="H156" s="0" t="n">
        <v>1</v>
      </c>
      <c r="I156" s="0" t="n">
        <v>0.765</v>
      </c>
      <c r="J156" s="0" t="n">
        <v>1</v>
      </c>
      <c r="K156" s="0" t="n">
        <v>0.765</v>
      </c>
      <c r="L156" s="0" t="n">
        <v>1</v>
      </c>
    </row>
    <row r="157" customFormat="false" ht="15" hidden="false" customHeight="false" outlineLevel="0" collapsed="false">
      <c r="A157" s="0" t="n">
        <v>0.77</v>
      </c>
      <c r="B157" s="0" t="n">
        <v>0.998142459098378</v>
      </c>
      <c r="C157" s="0" t="n">
        <v>0.77</v>
      </c>
      <c r="D157" s="0" t="n">
        <v>0.893235294117647</v>
      </c>
      <c r="E157" s="0" t="n">
        <v>0.77</v>
      </c>
      <c r="F157" s="0" t="n">
        <v>0.993456685764378</v>
      </c>
      <c r="G157" s="0" t="n">
        <v>0.77</v>
      </c>
      <c r="H157" s="0" t="n">
        <v>1</v>
      </c>
      <c r="I157" s="0" t="n">
        <v>0.77</v>
      </c>
      <c r="J157" s="0" t="n">
        <v>1</v>
      </c>
      <c r="K157" s="0" t="n">
        <v>0.77</v>
      </c>
      <c r="L157" s="0" t="n">
        <v>1</v>
      </c>
    </row>
    <row r="158" customFormat="false" ht="15" hidden="false" customHeight="false" outlineLevel="0" collapsed="false">
      <c r="A158" s="0" t="n">
        <v>0.775</v>
      </c>
      <c r="B158" s="0" t="n">
        <v>0.99821390297921</v>
      </c>
      <c r="C158" s="0" t="n">
        <v>0.775</v>
      </c>
      <c r="D158" s="0" t="n">
        <v>0.896470588235294</v>
      </c>
      <c r="E158" s="0" t="n">
        <v>0.775</v>
      </c>
      <c r="F158" s="0" t="n">
        <v>0.993816724585955</v>
      </c>
      <c r="G158" s="0" t="n">
        <v>0.775</v>
      </c>
      <c r="H158" s="0" t="n">
        <v>1</v>
      </c>
      <c r="I158" s="0" t="n">
        <v>0.775</v>
      </c>
      <c r="J158" s="0" t="n">
        <v>1</v>
      </c>
      <c r="K158" s="0" t="n">
        <v>0.775</v>
      </c>
      <c r="L158" s="0" t="n">
        <v>1</v>
      </c>
    </row>
    <row r="159" customFormat="false" ht="15" hidden="false" customHeight="false" outlineLevel="0" collapsed="false">
      <c r="A159" s="0" t="n">
        <v>0.78</v>
      </c>
      <c r="B159" s="0" t="n">
        <v>0.99821390297921</v>
      </c>
      <c r="C159" s="0" t="n">
        <v>0.78</v>
      </c>
      <c r="D159" s="0" t="n">
        <v>0.899117647058824</v>
      </c>
      <c r="E159" s="0" t="n">
        <v>0.78</v>
      </c>
      <c r="F159" s="0" t="n">
        <v>0.99412980182211</v>
      </c>
      <c r="G159" s="0" t="n">
        <v>0.78</v>
      </c>
      <c r="H159" s="0" t="n">
        <v>1</v>
      </c>
      <c r="I159" s="0" t="n">
        <v>0.78</v>
      </c>
      <c r="J159" s="0" t="n">
        <v>1</v>
      </c>
      <c r="K159" s="0" t="n">
        <v>0.78</v>
      </c>
      <c r="L159" s="0" t="n">
        <v>1</v>
      </c>
    </row>
    <row r="160" customFormat="false" ht="15" hidden="false" customHeight="false" outlineLevel="0" collapsed="false">
      <c r="A160" s="0" t="n">
        <v>0.785</v>
      </c>
      <c r="B160" s="0" t="n">
        <v>0.998285346860041</v>
      </c>
      <c r="C160" s="0" t="n">
        <v>0.785</v>
      </c>
      <c r="D160" s="0" t="n">
        <v>0.904558823529412</v>
      </c>
      <c r="E160" s="0" t="n">
        <v>0.785</v>
      </c>
      <c r="F160" s="0" t="n">
        <v>0.99433330202561</v>
      </c>
      <c r="G160" s="0" t="n">
        <v>0.785</v>
      </c>
      <c r="H160" s="0" t="n">
        <v>1</v>
      </c>
      <c r="I160" s="0" t="n">
        <v>0.785</v>
      </c>
      <c r="J160" s="0" t="n">
        <v>1</v>
      </c>
      <c r="K160" s="0" t="n">
        <v>0.785</v>
      </c>
      <c r="L160" s="0" t="n">
        <v>1</v>
      </c>
    </row>
    <row r="161" customFormat="false" ht="15" hidden="false" customHeight="false" outlineLevel="0" collapsed="false">
      <c r="A161" s="0" t="n">
        <v>0.79</v>
      </c>
      <c r="B161" s="0" t="n">
        <v>0.998356790740873</v>
      </c>
      <c r="C161" s="0" t="n">
        <v>0.79</v>
      </c>
      <c r="D161" s="0" t="n">
        <v>0.908088235294118</v>
      </c>
      <c r="E161" s="0" t="n">
        <v>0.79</v>
      </c>
      <c r="F161" s="0" t="n">
        <v>0.994615071538148</v>
      </c>
      <c r="G161" s="0" t="n">
        <v>0.79</v>
      </c>
      <c r="H161" s="0" t="n">
        <v>1</v>
      </c>
      <c r="I161" s="0" t="n">
        <v>0.79</v>
      </c>
      <c r="J161" s="0" t="n">
        <v>1</v>
      </c>
      <c r="K161" s="0" t="n">
        <v>0.79</v>
      </c>
      <c r="L161" s="0" t="n">
        <v>1</v>
      </c>
    </row>
    <row r="162" customFormat="false" ht="15" hidden="false" customHeight="false" outlineLevel="0" collapsed="false">
      <c r="A162" s="0" t="n">
        <v>0.795</v>
      </c>
      <c r="B162" s="0" t="n">
        <v>0.998428234621705</v>
      </c>
      <c r="C162" s="0" t="n">
        <v>0.795</v>
      </c>
      <c r="D162" s="0" t="n">
        <v>0.911764705882353</v>
      </c>
      <c r="E162" s="0" t="n">
        <v>0.795</v>
      </c>
      <c r="F162" s="0" t="n">
        <v>0.994865533327072</v>
      </c>
      <c r="G162" s="0" t="n">
        <v>0.795</v>
      </c>
      <c r="H162" s="0" t="n">
        <v>1</v>
      </c>
      <c r="I162" s="0" t="n">
        <v>0.795</v>
      </c>
      <c r="J162" s="0" t="n">
        <v>1</v>
      </c>
      <c r="K162" s="0" t="n">
        <v>0.795</v>
      </c>
      <c r="L162" s="0" t="n">
        <v>1</v>
      </c>
    </row>
    <row r="163" customFormat="false" ht="15" hidden="false" customHeight="false" outlineLevel="0" collapsed="false">
      <c r="A163" s="0" t="n">
        <v>0.8</v>
      </c>
      <c r="B163" s="0" t="n">
        <v>0.998428234621705</v>
      </c>
      <c r="C163" s="0" t="n">
        <v>0.8</v>
      </c>
      <c r="D163" s="0" t="n">
        <v>0.914411764705882</v>
      </c>
      <c r="E163" s="0" t="n">
        <v>0.8</v>
      </c>
      <c r="F163" s="0" t="n">
        <v>0.99508468739238</v>
      </c>
      <c r="G163" s="0" t="n">
        <v>0.8</v>
      </c>
      <c r="H163" s="0" t="n">
        <v>1</v>
      </c>
      <c r="I163" s="0" t="n">
        <v>0.8</v>
      </c>
      <c r="J163" s="0" t="n">
        <v>1</v>
      </c>
      <c r="K163" s="0" t="n">
        <v>0.8</v>
      </c>
      <c r="L163" s="0" t="n">
        <v>1</v>
      </c>
    </row>
    <row r="164" customFormat="false" ht="15" hidden="false" customHeight="false" outlineLevel="0" collapsed="false">
      <c r="A164" s="0" t="n">
        <v>0.805</v>
      </c>
      <c r="B164" s="0" t="n">
        <v>0.998499678502536</v>
      </c>
      <c r="C164" s="0" t="n">
        <v>0.805</v>
      </c>
      <c r="D164" s="0" t="n">
        <v>0.916617647058824</v>
      </c>
      <c r="E164" s="0" t="n">
        <v>0.805</v>
      </c>
      <c r="F164" s="0" t="n">
        <v>0.995429072352149</v>
      </c>
      <c r="G164" s="0" t="n">
        <v>0.805</v>
      </c>
      <c r="H164" s="0" t="n">
        <v>1</v>
      </c>
      <c r="I164" s="0" t="n">
        <v>0.805</v>
      </c>
      <c r="J164" s="0" t="n">
        <v>1</v>
      </c>
      <c r="K164" s="0" t="n">
        <v>0.805</v>
      </c>
      <c r="L164" s="0" t="n">
        <v>1</v>
      </c>
    </row>
    <row r="165" customFormat="false" ht="15" hidden="false" customHeight="false" outlineLevel="0" collapsed="false">
      <c r="A165" s="0" t="n">
        <v>0.81</v>
      </c>
      <c r="B165" s="0" t="n">
        <v>0.998571122383368</v>
      </c>
      <c r="C165" s="0" t="n">
        <v>0.81</v>
      </c>
      <c r="D165" s="0" t="n">
        <v>0.920441176470588</v>
      </c>
      <c r="E165" s="0" t="n">
        <v>0.81</v>
      </c>
      <c r="F165" s="0" t="n">
        <v>0.995742149588303</v>
      </c>
      <c r="G165" s="0" t="n">
        <v>0.81</v>
      </c>
      <c r="H165" s="0" t="n">
        <v>1</v>
      </c>
      <c r="I165" s="0" t="n">
        <v>0.81</v>
      </c>
      <c r="J165" s="0" t="n">
        <v>1</v>
      </c>
      <c r="K165" s="0" t="n">
        <v>0.81</v>
      </c>
      <c r="L165" s="0" t="n">
        <v>1</v>
      </c>
    </row>
    <row r="166" customFormat="false" ht="15" hidden="false" customHeight="false" outlineLevel="0" collapsed="false">
      <c r="A166" s="0" t="n">
        <v>0.815</v>
      </c>
      <c r="B166" s="0" t="n">
        <v>0.998571122383368</v>
      </c>
      <c r="C166" s="0" t="n">
        <v>0.815</v>
      </c>
      <c r="D166" s="0" t="n">
        <v>0.923235294117647</v>
      </c>
      <c r="E166" s="0" t="n">
        <v>0.815</v>
      </c>
      <c r="F166" s="0" t="n">
        <v>0.996055226824458</v>
      </c>
      <c r="G166" s="0" t="n">
        <v>0.815</v>
      </c>
      <c r="H166" s="0" t="n">
        <v>1</v>
      </c>
      <c r="I166" s="0" t="n">
        <v>0.815</v>
      </c>
      <c r="J166" s="0" t="n">
        <v>1</v>
      </c>
      <c r="K166" s="0" t="n">
        <v>0.815</v>
      </c>
      <c r="L166" s="0" t="n">
        <v>1</v>
      </c>
    </row>
    <row r="167" customFormat="false" ht="15" hidden="false" customHeight="false" outlineLevel="0" collapsed="false">
      <c r="A167" s="0" t="n">
        <v>0.82</v>
      </c>
      <c r="B167" s="0" t="n">
        <v>0.998571122383368</v>
      </c>
      <c r="C167" s="0" t="n">
        <v>0.82</v>
      </c>
      <c r="D167" s="0" t="n">
        <v>0.925882352941177</v>
      </c>
      <c r="E167" s="0" t="n">
        <v>0.82</v>
      </c>
      <c r="F167" s="0" t="n">
        <v>0.996321342475189</v>
      </c>
      <c r="G167" s="0" t="n">
        <v>0.82</v>
      </c>
      <c r="H167" s="0" t="n">
        <v>1</v>
      </c>
      <c r="I167" s="0" t="n">
        <v>0.82</v>
      </c>
      <c r="J167" s="0" t="n">
        <v>1</v>
      </c>
      <c r="K167" s="0" t="n">
        <v>0.82</v>
      </c>
      <c r="L167" s="0" t="n">
        <v>1</v>
      </c>
    </row>
    <row r="168" customFormat="false" ht="15" hidden="false" customHeight="false" outlineLevel="0" collapsed="false">
      <c r="A168" s="0" t="n">
        <v>0.825</v>
      </c>
      <c r="B168" s="0" t="n">
        <v>0.998571122383368</v>
      </c>
      <c r="C168" s="0" t="n">
        <v>0.825</v>
      </c>
      <c r="D168" s="0" t="n">
        <v>0.928382352941176</v>
      </c>
      <c r="E168" s="0" t="n">
        <v>0.825</v>
      </c>
      <c r="F168" s="0" t="n">
        <v>0.99658745812592</v>
      </c>
      <c r="G168" s="0" t="n">
        <v>0.825</v>
      </c>
      <c r="H168" s="0" t="n">
        <v>1</v>
      </c>
      <c r="I168" s="0" t="n">
        <v>0.825</v>
      </c>
      <c r="J168" s="0" t="n">
        <v>1</v>
      </c>
      <c r="K168" s="0" t="n">
        <v>0.825</v>
      </c>
      <c r="L168" s="0" t="n">
        <v>1</v>
      </c>
    </row>
    <row r="169" customFormat="false" ht="15" hidden="false" customHeight="false" outlineLevel="0" collapsed="false">
      <c r="A169" s="0" t="n">
        <v>0.83</v>
      </c>
      <c r="B169" s="0" t="n">
        <v>0.998714010145031</v>
      </c>
      <c r="C169" s="0" t="n">
        <v>0.83</v>
      </c>
      <c r="D169" s="0" t="n">
        <v>0.931029411764706</v>
      </c>
      <c r="E169" s="0" t="n">
        <v>0.83</v>
      </c>
      <c r="F169" s="0" t="n">
        <v>0.996900535362074</v>
      </c>
      <c r="G169" s="0" t="n">
        <v>0.83</v>
      </c>
      <c r="H169" s="0" t="n">
        <v>1</v>
      </c>
      <c r="I169" s="0" t="n">
        <v>0.83</v>
      </c>
      <c r="J169" s="0" t="n">
        <v>1</v>
      </c>
      <c r="K169" s="0" t="n">
        <v>0.83</v>
      </c>
      <c r="L169" s="0" t="n">
        <v>1</v>
      </c>
    </row>
    <row r="170" customFormat="false" ht="15" hidden="false" customHeight="false" outlineLevel="0" collapsed="false">
      <c r="A170" s="0" t="n">
        <v>0.835</v>
      </c>
      <c r="B170" s="0" t="n">
        <v>0.998928341787526</v>
      </c>
      <c r="C170" s="0" t="n">
        <v>0.835</v>
      </c>
      <c r="D170" s="0" t="n">
        <v>0.934705882352941</v>
      </c>
      <c r="E170" s="0" t="n">
        <v>0.835</v>
      </c>
      <c r="F170" s="0" t="n">
        <v>0.997150997150997</v>
      </c>
      <c r="G170" s="0" t="n">
        <v>0.835</v>
      </c>
      <c r="H170" s="0" t="n">
        <v>1</v>
      </c>
      <c r="I170" s="0" t="n">
        <v>0.835</v>
      </c>
      <c r="J170" s="0" t="n">
        <v>1</v>
      </c>
      <c r="K170" s="0" t="n">
        <v>0.835</v>
      </c>
      <c r="L170" s="0" t="n">
        <v>1</v>
      </c>
    </row>
    <row r="171" customFormat="false" ht="15" hidden="false" customHeight="false" outlineLevel="0" collapsed="false">
      <c r="A171" s="0" t="n">
        <v>0.84</v>
      </c>
      <c r="B171" s="0" t="n">
        <v>0.998999785668358</v>
      </c>
      <c r="C171" s="0" t="n">
        <v>0.84</v>
      </c>
      <c r="D171" s="0" t="n">
        <v>0.936323529411765</v>
      </c>
      <c r="E171" s="0" t="n">
        <v>0.84</v>
      </c>
      <c r="F171" s="0" t="n">
        <v>0.997385805078113</v>
      </c>
      <c r="G171" s="0" t="n">
        <v>0.84</v>
      </c>
      <c r="H171" s="0" t="n">
        <v>1</v>
      </c>
      <c r="I171" s="0" t="n">
        <v>0.84</v>
      </c>
      <c r="J171" s="0" t="n">
        <v>1</v>
      </c>
      <c r="K171" s="0" t="n">
        <v>0.84</v>
      </c>
      <c r="L171" s="0" t="n">
        <v>1</v>
      </c>
    </row>
    <row r="172" customFormat="false" ht="15" hidden="false" customHeight="false" outlineLevel="0" collapsed="false">
      <c r="A172" s="0" t="n">
        <v>0.845</v>
      </c>
      <c r="B172" s="0" t="n">
        <v>0.999071229549189</v>
      </c>
      <c r="C172" s="0" t="n">
        <v>0.845</v>
      </c>
      <c r="D172" s="0" t="n">
        <v>0.937941176470588</v>
      </c>
      <c r="E172" s="0" t="n">
        <v>0.845</v>
      </c>
      <c r="F172" s="0" t="n">
        <v>0.997620613005228</v>
      </c>
      <c r="G172" s="0" t="n">
        <v>0.845</v>
      </c>
      <c r="H172" s="0" t="n">
        <v>1</v>
      </c>
      <c r="I172" s="0" t="n">
        <v>0.845</v>
      </c>
      <c r="J172" s="0" t="n">
        <v>1</v>
      </c>
      <c r="K172" s="0" t="n">
        <v>0.845</v>
      </c>
      <c r="L172" s="0" t="n">
        <v>1</v>
      </c>
    </row>
    <row r="173" customFormat="false" ht="15" hidden="false" customHeight="false" outlineLevel="0" collapsed="false">
      <c r="A173" s="0" t="n">
        <v>0.85</v>
      </c>
      <c r="B173" s="0" t="n">
        <v>0.999214117310852</v>
      </c>
      <c r="C173" s="0" t="n">
        <v>0.85</v>
      </c>
      <c r="D173" s="0" t="n">
        <v>0.941911764705882</v>
      </c>
      <c r="E173" s="0" t="n">
        <v>0.85</v>
      </c>
      <c r="F173" s="0" t="n">
        <v>0.997792805485113</v>
      </c>
      <c r="G173" s="0" t="n">
        <v>0.85</v>
      </c>
      <c r="H173" s="0" t="n">
        <v>1</v>
      </c>
      <c r="I173" s="0" t="n">
        <v>0.85</v>
      </c>
      <c r="J173" s="0" t="n">
        <v>1</v>
      </c>
      <c r="K173" s="0" t="n">
        <v>0.85</v>
      </c>
      <c r="L173" s="0" t="n">
        <v>1</v>
      </c>
    </row>
    <row r="174" customFormat="false" ht="15" hidden="false" customHeight="false" outlineLevel="0" collapsed="false">
      <c r="A174" s="0" t="n">
        <v>0.855</v>
      </c>
      <c r="B174" s="0" t="n">
        <v>0.999214117310852</v>
      </c>
      <c r="C174" s="0" t="n">
        <v>0.855</v>
      </c>
      <c r="D174" s="0" t="n">
        <v>0.944705882352941</v>
      </c>
      <c r="E174" s="0" t="n">
        <v>0.855</v>
      </c>
      <c r="F174" s="0" t="n">
        <v>0.997964997964998</v>
      </c>
      <c r="G174" s="0" t="n">
        <v>0.855</v>
      </c>
      <c r="H174" s="0" t="n">
        <v>1</v>
      </c>
      <c r="I174" s="0" t="n">
        <v>0.855</v>
      </c>
      <c r="J174" s="0" t="n">
        <v>1</v>
      </c>
      <c r="K174" s="0" t="n">
        <v>0.855</v>
      </c>
      <c r="L174" s="0" t="n">
        <v>1</v>
      </c>
    </row>
    <row r="175" customFormat="false" ht="15" hidden="false" customHeight="false" outlineLevel="0" collapsed="false">
      <c r="A175" s="0" t="n">
        <v>0.86</v>
      </c>
      <c r="B175" s="0" t="n">
        <v>0.999214117310852</v>
      </c>
      <c r="C175" s="0" t="n">
        <v>0.86</v>
      </c>
      <c r="D175" s="0" t="n">
        <v>0.947205882352941</v>
      </c>
      <c r="E175" s="0" t="n">
        <v>0.86</v>
      </c>
      <c r="F175" s="0" t="n">
        <v>0.998168498168498</v>
      </c>
      <c r="G175" s="0" t="n">
        <v>0.86</v>
      </c>
      <c r="H175" s="0" t="n">
        <v>1</v>
      </c>
      <c r="I175" s="0" t="n">
        <v>0.86</v>
      </c>
      <c r="J175" s="0" t="n">
        <v>1</v>
      </c>
      <c r="K175" s="0" t="n">
        <v>0.86</v>
      </c>
      <c r="L175" s="0" t="n">
        <v>1</v>
      </c>
    </row>
    <row r="176" customFormat="false" ht="15" hidden="false" customHeight="false" outlineLevel="0" collapsed="false">
      <c r="A176" s="0" t="n">
        <v>0.865</v>
      </c>
      <c r="B176" s="0" t="n">
        <v>0.999214117310852</v>
      </c>
      <c r="C176" s="0" t="n">
        <v>0.865</v>
      </c>
      <c r="D176" s="0" t="n">
        <v>0.950588235294118</v>
      </c>
      <c r="E176" s="0" t="n">
        <v>0.865</v>
      </c>
      <c r="F176" s="0" t="n">
        <v>0.99829372906296</v>
      </c>
      <c r="G176" s="0" t="n">
        <v>0.865</v>
      </c>
      <c r="H176" s="0" t="n">
        <v>1</v>
      </c>
      <c r="I176" s="0" t="n">
        <v>0.865</v>
      </c>
      <c r="J176" s="0" t="n">
        <v>1</v>
      </c>
      <c r="K176" s="0" t="n">
        <v>0.865</v>
      </c>
      <c r="L176" s="0" t="n">
        <v>1</v>
      </c>
    </row>
    <row r="177" customFormat="false" ht="15" hidden="false" customHeight="false" outlineLevel="0" collapsed="false">
      <c r="A177" s="0" t="n">
        <v>0.87</v>
      </c>
      <c r="B177" s="0" t="n">
        <v>0.999214117310852</v>
      </c>
      <c r="C177" s="0" t="n">
        <v>0.87</v>
      </c>
      <c r="D177" s="0" t="n">
        <v>0.954117647058824</v>
      </c>
      <c r="E177" s="0" t="n">
        <v>0.87</v>
      </c>
      <c r="F177" s="0" t="n">
        <v>0.998387652233806</v>
      </c>
      <c r="G177" s="0" t="n">
        <v>0.87</v>
      </c>
      <c r="H177" s="0" t="n">
        <v>1</v>
      </c>
      <c r="I177" s="0" t="n">
        <v>0.87</v>
      </c>
      <c r="J177" s="0" t="n">
        <v>1</v>
      </c>
      <c r="K177" s="0" t="n">
        <v>0.87</v>
      </c>
      <c r="L177" s="0" t="n">
        <v>1</v>
      </c>
    </row>
    <row r="178" customFormat="false" ht="15" hidden="false" customHeight="false" outlineLevel="0" collapsed="false">
      <c r="A178" s="0" t="n">
        <v>0.875</v>
      </c>
      <c r="B178" s="0" t="n">
        <v>0.999285561191684</v>
      </c>
      <c r="C178" s="0" t="n">
        <v>0.875</v>
      </c>
      <c r="D178" s="0" t="n">
        <v>0.956470588235294</v>
      </c>
      <c r="E178" s="0" t="n">
        <v>0.875</v>
      </c>
      <c r="F178" s="0" t="n">
        <v>0.998528536990076</v>
      </c>
      <c r="G178" s="0" t="n">
        <v>0.875</v>
      </c>
      <c r="H178" s="0" t="n">
        <v>1</v>
      </c>
      <c r="I178" s="0" t="n">
        <v>0.875</v>
      </c>
      <c r="J178" s="0" t="n">
        <v>1</v>
      </c>
      <c r="K178" s="0" t="n">
        <v>0.875</v>
      </c>
      <c r="L178" s="0" t="n">
        <v>1</v>
      </c>
    </row>
    <row r="179" customFormat="false" ht="15" hidden="false" customHeight="false" outlineLevel="0" collapsed="false">
      <c r="A179" s="0" t="n">
        <v>0.88</v>
      </c>
      <c r="B179" s="0" t="n">
        <v>0.999285561191684</v>
      </c>
      <c r="C179" s="0" t="n">
        <v>0.88</v>
      </c>
      <c r="D179" s="0" t="n">
        <v>0.958823529411765</v>
      </c>
      <c r="E179" s="0" t="n">
        <v>0.88</v>
      </c>
      <c r="F179" s="0" t="n">
        <v>0.998747691055383</v>
      </c>
      <c r="G179" s="0" t="n">
        <v>0.88</v>
      </c>
      <c r="H179" s="0" t="n">
        <v>1</v>
      </c>
      <c r="I179" s="0" t="n">
        <v>0.88</v>
      </c>
      <c r="J179" s="0" t="n">
        <v>1</v>
      </c>
      <c r="K179" s="0" t="n">
        <v>0.88</v>
      </c>
      <c r="L179" s="0" t="n">
        <v>1</v>
      </c>
    </row>
    <row r="180" customFormat="false" ht="15" hidden="false" customHeight="false" outlineLevel="0" collapsed="false">
      <c r="A180" s="0" t="n">
        <v>0.885</v>
      </c>
      <c r="B180" s="0" t="n">
        <v>0.999357005072516</v>
      </c>
      <c r="C180" s="0" t="n">
        <v>0.885</v>
      </c>
      <c r="D180" s="0" t="n">
        <v>0.960294117647059</v>
      </c>
      <c r="E180" s="0" t="n">
        <v>0.885</v>
      </c>
      <c r="F180" s="0" t="n">
        <v>0.998919883535268</v>
      </c>
      <c r="G180" s="0" t="n">
        <v>0.885</v>
      </c>
      <c r="H180" s="0" t="n">
        <v>1</v>
      </c>
      <c r="I180" s="0" t="n">
        <v>0.885</v>
      </c>
      <c r="J180" s="0" t="n">
        <v>1</v>
      </c>
      <c r="K180" s="0" t="n">
        <v>0.885</v>
      </c>
      <c r="L180" s="0" t="n">
        <v>1</v>
      </c>
    </row>
    <row r="181" customFormat="false" ht="15" hidden="false" customHeight="false" outlineLevel="0" collapsed="false">
      <c r="A181" s="0" t="n">
        <v>0.89</v>
      </c>
      <c r="B181" s="0" t="n">
        <v>0.999428448953347</v>
      </c>
      <c r="C181" s="0" t="n">
        <v>0.89</v>
      </c>
      <c r="D181" s="0" t="n">
        <v>0.962941176470588</v>
      </c>
      <c r="E181" s="0" t="n">
        <v>0.89</v>
      </c>
      <c r="F181" s="0" t="n">
        <v>0.999092076015153</v>
      </c>
      <c r="G181" s="0" t="n">
        <v>0.89</v>
      </c>
      <c r="H181" s="0" t="n">
        <v>1</v>
      </c>
      <c r="I181" s="0" t="n">
        <v>0.89</v>
      </c>
      <c r="J181" s="0" t="n">
        <v>1</v>
      </c>
      <c r="K181" s="0" t="n">
        <v>0.89</v>
      </c>
      <c r="L181" s="0" t="n">
        <v>1</v>
      </c>
    </row>
    <row r="182" customFormat="false" ht="15" hidden="false" customHeight="false" outlineLevel="0" collapsed="false">
      <c r="A182" s="0" t="n">
        <v>0.895</v>
      </c>
      <c r="B182" s="0" t="n">
        <v>0.999428448953347</v>
      </c>
      <c r="C182" s="0" t="n">
        <v>0.895</v>
      </c>
      <c r="D182" s="0" t="n">
        <v>0.967647058823529</v>
      </c>
      <c r="E182" s="0" t="n">
        <v>0.895</v>
      </c>
      <c r="F182" s="0" t="n">
        <v>0.99924861463323</v>
      </c>
      <c r="G182" s="0" t="n">
        <v>0.895</v>
      </c>
      <c r="H182" s="0" t="n">
        <v>1</v>
      </c>
      <c r="I182" s="0" t="n">
        <v>0.895</v>
      </c>
      <c r="J182" s="0" t="n">
        <v>1</v>
      </c>
      <c r="K182" s="0" t="n">
        <v>0.895</v>
      </c>
      <c r="L182" s="0" t="n">
        <v>1</v>
      </c>
    </row>
    <row r="183" customFormat="false" ht="15" hidden="false" customHeight="false" outlineLevel="0" collapsed="false">
      <c r="A183" s="0" t="n">
        <v>0.9</v>
      </c>
      <c r="B183" s="0" t="n">
        <v>0.999499892834179</v>
      </c>
      <c r="C183" s="0" t="n">
        <v>0.9</v>
      </c>
      <c r="D183" s="0" t="n">
        <v>0.970588235294118</v>
      </c>
      <c r="E183" s="0" t="n">
        <v>0.9</v>
      </c>
      <c r="F183" s="0" t="n">
        <v>0.999311230080461</v>
      </c>
      <c r="G183" s="0" t="n">
        <v>0.9</v>
      </c>
      <c r="H183" s="0" t="n">
        <v>1</v>
      </c>
      <c r="I183" s="0" t="n">
        <v>0.9</v>
      </c>
      <c r="J183" s="0" t="n">
        <v>1</v>
      </c>
      <c r="K183" s="0" t="n">
        <v>0.9</v>
      </c>
      <c r="L183" s="0" t="n">
        <v>1</v>
      </c>
    </row>
    <row r="184" customFormat="false" ht="15" hidden="false" customHeight="false" outlineLevel="0" collapsed="false">
      <c r="A184" s="0" t="n">
        <v>0.905</v>
      </c>
      <c r="B184" s="0" t="n">
        <v>0.999642780595842</v>
      </c>
      <c r="C184" s="0" t="n">
        <v>0.905</v>
      </c>
      <c r="D184" s="0" t="n">
        <v>0.972205882352941</v>
      </c>
      <c r="E184" s="0" t="n">
        <v>0.905</v>
      </c>
      <c r="F184" s="0" t="n">
        <v>0.999342537804076</v>
      </c>
      <c r="G184" s="0" t="n">
        <v>0.905</v>
      </c>
      <c r="H184" s="0" t="n">
        <v>1</v>
      </c>
      <c r="I184" s="0" t="n">
        <v>0.905</v>
      </c>
      <c r="J184" s="0" t="n">
        <v>1</v>
      </c>
      <c r="K184" s="0" t="n">
        <v>0.905</v>
      </c>
      <c r="L184" s="0" t="n">
        <v>1</v>
      </c>
    </row>
    <row r="185" customFormat="false" ht="15" hidden="false" customHeight="false" outlineLevel="0" collapsed="false">
      <c r="A185" s="0" t="n">
        <v>0.91</v>
      </c>
      <c r="B185" s="0" t="n">
        <v>0.999714224476674</v>
      </c>
      <c r="C185" s="0" t="n">
        <v>0.91</v>
      </c>
      <c r="D185" s="0" t="n">
        <v>0.974411764705882</v>
      </c>
      <c r="E185" s="0" t="n">
        <v>0.91</v>
      </c>
      <c r="F185" s="0" t="n">
        <v>0.999405153251307</v>
      </c>
      <c r="G185" s="0" t="n">
        <v>0.91</v>
      </c>
      <c r="H185" s="0" t="n">
        <v>1</v>
      </c>
      <c r="I185" s="0" t="n">
        <v>0.91</v>
      </c>
      <c r="J185" s="0" t="n">
        <v>1</v>
      </c>
      <c r="K185" s="0" t="n">
        <v>0.91</v>
      </c>
      <c r="L185" s="0" t="n">
        <v>1</v>
      </c>
    </row>
    <row r="186" customFormat="false" ht="15" hidden="false" customHeight="false" outlineLevel="0" collapsed="false">
      <c r="A186" s="0" t="n">
        <v>0.915</v>
      </c>
      <c r="B186" s="0" t="n">
        <v>0.999714224476674</v>
      </c>
      <c r="C186" s="0" t="n">
        <v>0.915</v>
      </c>
      <c r="D186" s="0" t="n">
        <v>0.976323529411765</v>
      </c>
      <c r="E186" s="0" t="n">
        <v>0.915</v>
      </c>
      <c r="F186" s="0" t="n">
        <v>0.999420807113115</v>
      </c>
      <c r="G186" s="0" t="n">
        <v>0.915</v>
      </c>
      <c r="H186" s="0" t="n">
        <v>1</v>
      </c>
      <c r="I186" s="0" t="n">
        <v>0.915</v>
      </c>
      <c r="J186" s="0" t="n">
        <v>1</v>
      </c>
      <c r="K186" s="0" t="n">
        <v>0.915</v>
      </c>
      <c r="L186" s="0" t="n">
        <v>1</v>
      </c>
    </row>
    <row r="187" customFormat="false" ht="15" hidden="false" customHeight="false" outlineLevel="0" collapsed="false">
      <c r="A187" s="0" t="n">
        <v>0.92</v>
      </c>
      <c r="B187" s="0" t="n">
        <v>0.999785668357505</v>
      </c>
      <c r="C187" s="0" t="n">
        <v>0.92</v>
      </c>
      <c r="D187" s="0" t="n">
        <v>0.978676470588235</v>
      </c>
      <c r="E187" s="0" t="n">
        <v>0.92</v>
      </c>
      <c r="F187" s="0" t="n">
        <v>0.999499076422153</v>
      </c>
      <c r="G187" s="0" t="n">
        <v>0.92</v>
      </c>
      <c r="H187" s="0" t="n">
        <v>1</v>
      </c>
      <c r="I187" s="0" t="n">
        <v>0.92</v>
      </c>
      <c r="J187" s="0" t="n">
        <v>1</v>
      </c>
      <c r="K187" s="0" t="n">
        <v>0.92</v>
      </c>
      <c r="L187" s="0" t="n">
        <v>1</v>
      </c>
    </row>
    <row r="188" customFormat="false" ht="15" hidden="false" customHeight="false" outlineLevel="0" collapsed="false">
      <c r="A188" s="0" t="n">
        <v>0.925</v>
      </c>
      <c r="B188" s="0" t="n">
        <v>0.999785668357505</v>
      </c>
      <c r="C188" s="0" t="n">
        <v>0.925</v>
      </c>
      <c r="D188" s="0" t="n">
        <v>0.980147058823529</v>
      </c>
      <c r="E188" s="0" t="n">
        <v>0.925</v>
      </c>
      <c r="F188" s="0" t="n">
        <v>0.999608653454807</v>
      </c>
      <c r="G188" s="0" t="n">
        <v>0.925</v>
      </c>
      <c r="H188" s="0" t="n">
        <v>1</v>
      </c>
      <c r="I188" s="0" t="n">
        <v>0.925</v>
      </c>
      <c r="J188" s="0" t="n">
        <v>1</v>
      </c>
      <c r="K188" s="0" t="n">
        <v>0.925</v>
      </c>
      <c r="L188" s="0" t="n">
        <v>1</v>
      </c>
    </row>
    <row r="189" customFormat="false" ht="15" hidden="false" customHeight="false" outlineLevel="0" collapsed="false">
      <c r="A189" s="0" t="n">
        <v>0.93</v>
      </c>
      <c r="B189" s="0" t="n">
        <v>0.999785668357505</v>
      </c>
      <c r="C189" s="0" t="n">
        <v>0.93</v>
      </c>
      <c r="D189" s="0" t="n">
        <v>0.981764705882353</v>
      </c>
      <c r="E189" s="0" t="n">
        <v>0.93</v>
      </c>
      <c r="F189" s="0" t="n">
        <v>0.999671268902038</v>
      </c>
      <c r="G189" s="0" t="n">
        <v>0.93</v>
      </c>
      <c r="H189" s="0" t="n">
        <v>1</v>
      </c>
      <c r="I189" s="0" t="n">
        <v>0.93</v>
      </c>
      <c r="J189" s="0" t="n">
        <v>1</v>
      </c>
      <c r="K189" s="0" t="n">
        <v>0.93</v>
      </c>
      <c r="L189" s="0" t="n">
        <v>1</v>
      </c>
    </row>
    <row r="190" customFormat="false" ht="15" hidden="false" customHeight="false" outlineLevel="0" collapsed="false">
      <c r="A190" s="0" t="n">
        <v>0.935</v>
      </c>
      <c r="B190" s="0" t="n">
        <v>0.999785668357505</v>
      </c>
      <c r="C190" s="0" t="n">
        <v>0.935</v>
      </c>
      <c r="D190" s="0" t="n">
        <v>0.982352941176471</v>
      </c>
      <c r="E190" s="0" t="n">
        <v>0.935</v>
      </c>
      <c r="F190" s="0" t="n">
        <v>0.999718230487461</v>
      </c>
      <c r="G190" s="0" t="n">
        <v>0.935</v>
      </c>
      <c r="H190" s="0" t="n">
        <v>1</v>
      </c>
      <c r="I190" s="0" t="n">
        <v>0.935</v>
      </c>
      <c r="J190" s="0" t="n">
        <v>1</v>
      </c>
      <c r="K190" s="0" t="n">
        <v>0.935</v>
      </c>
      <c r="L190" s="0" t="n">
        <v>1</v>
      </c>
    </row>
    <row r="191" customFormat="false" ht="15" hidden="false" customHeight="false" outlineLevel="0" collapsed="false">
      <c r="A191" s="0" t="n">
        <v>0.94</v>
      </c>
      <c r="B191" s="0" t="n">
        <v>0.999928556119168</v>
      </c>
      <c r="C191" s="0" t="n">
        <v>0.94</v>
      </c>
      <c r="D191" s="0" t="n">
        <v>0.984558823529412</v>
      </c>
      <c r="E191" s="0" t="n">
        <v>0.94</v>
      </c>
      <c r="F191" s="0" t="n">
        <v>0.999780845934692</v>
      </c>
      <c r="G191" s="0" t="n">
        <v>0.94</v>
      </c>
      <c r="H191" s="0" t="n">
        <v>1</v>
      </c>
      <c r="I191" s="0" t="n">
        <v>0.94</v>
      </c>
      <c r="J191" s="0" t="n">
        <v>1</v>
      </c>
      <c r="K191" s="0" t="n">
        <v>0.94</v>
      </c>
      <c r="L191" s="0" t="n">
        <v>1</v>
      </c>
    </row>
    <row r="192" customFormat="false" ht="15" hidden="false" customHeight="false" outlineLevel="0" collapsed="false">
      <c r="A192" s="0" t="n">
        <v>0.945</v>
      </c>
      <c r="B192" s="0" t="n">
        <v>0.999928556119168</v>
      </c>
      <c r="C192" s="0" t="n">
        <v>0.945</v>
      </c>
      <c r="D192" s="0" t="n">
        <v>0.986764705882353</v>
      </c>
      <c r="E192" s="0" t="n">
        <v>0.945</v>
      </c>
      <c r="F192" s="0" t="n">
        <v>0.999812153658308</v>
      </c>
      <c r="G192" s="0" t="n">
        <v>0.945</v>
      </c>
      <c r="H192" s="0" t="n">
        <v>1</v>
      </c>
      <c r="I192" s="0" t="n">
        <v>0.945</v>
      </c>
      <c r="J192" s="0" t="n">
        <v>1</v>
      </c>
      <c r="K192" s="0" t="n">
        <v>0.945</v>
      </c>
      <c r="L192" s="0" t="n">
        <v>1</v>
      </c>
    </row>
    <row r="193" customFormat="false" ht="15" hidden="false" customHeight="false" outlineLevel="0" collapsed="false">
      <c r="A193" s="0" t="n">
        <v>0.95</v>
      </c>
      <c r="B193" s="0" t="n">
        <v>0.999928556119168</v>
      </c>
      <c r="C193" s="0" t="n">
        <v>0.95</v>
      </c>
      <c r="D193" s="0" t="n">
        <v>0.988676470588235</v>
      </c>
      <c r="E193" s="0" t="n">
        <v>0.95</v>
      </c>
      <c r="F193" s="0" t="n">
        <v>0.999827807520115</v>
      </c>
      <c r="G193" s="0" t="n">
        <v>0.95</v>
      </c>
      <c r="H193" s="0" t="n">
        <v>1</v>
      </c>
      <c r="I193" s="0" t="n">
        <v>0.95</v>
      </c>
      <c r="J193" s="0" t="n">
        <v>1</v>
      </c>
      <c r="K193" s="0" t="n">
        <v>0.95</v>
      </c>
      <c r="L193" s="0" t="n">
        <v>1</v>
      </c>
    </row>
    <row r="194" customFormat="false" ht="15" hidden="false" customHeight="false" outlineLevel="0" collapsed="false">
      <c r="A194" s="0" t="n">
        <v>0.955</v>
      </c>
      <c r="B194" s="0" t="n">
        <v>0.999928556119168</v>
      </c>
      <c r="C194" s="0" t="n">
        <v>0.955</v>
      </c>
      <c r="D194" s="0" t="n">
        <v>0.990147058823529</v>
      </c>
      <c r="E194" s="0" t="n">
        <v>0.955</v>
      </c>
      <c r="F194" s="0" t="n">
        <v>0.999874769105538</v>
      </c>
      <c r="G194" s="0" t="n">
        <v>0.955</v>
      </c>
      <c r="H194" s="0" t="n">
        <v>1</v>
      </c>
      <c r="I194" s="0" t="n">
        <v>0.955</v>
      </c>
      <c r="J194" s="0" t="n">
        <v>1</v>
      </c>
      <c r="K194" s="0" t="n">
        <v>0.955</v>
      </c>
      <c r="L194" s="0" t="n">
        <v>1</v>
      </c>
    </row>
    <row r="195" customFormat="false" ht="15" hidden="false" customHeight="false" outlineLevel="0" collapsed="false">
      <c r="A195" s="0" t="n">
        <v>0.96</v>
      </c>
      <c r="B195" s="0" t="n">
        <v>0.999928556119168</v>
      </c>
      <c r="C195" s="0" t="n">
        <v>0.96</v>
      </c>
      <c r="D195" s="0" t="n">
        <v>0.992205882352941</v>
      </c>
      <c r="E195" s="0" t="n">
        <v>0.96</v>
      </c>
      <c r="F195" s="0" t="n">
        <v>0.999906076829154</v>
      </c>
      <c r="G195" s="0" t="n">
        <v>0.96</v>
      </c>
      <c r="H195" s="0" t="n">
        <v>1</v>
      </c>
      <c r="I195" s="0" t="n">
        <v>0.96</v>
      </c>
      <c r="J195" s="0" t="n">
        <v>1</v>
      </c>
      <c r="K195" s="0" t="n">
        <v>0.96</v>
      </c>
      <c r="L195" s="0" t="n">
        <v>1</v>
      </c>
    </row>
    <row r="196" customFormat="false" ht="15" hidden="false" customHeight="false" outlineLevel="0" collapsed="false">
      <c r="A196" s="0" t="n">
        <v>0.965</v>
      </c>
      <c r="B196" s="0" t="n">
        <v>0.999928556119168</v>
      </c>
      <c r="C196" s="0" t="n">
        <v>0.965</v>
      </c>
      <c r="D196" s="0" t="n">
        <v>0.994705882352941</v>
      </c>
      <c r="E196" s="0" t="n">
        <v>0.965</v>
      </c>
      <c r="F196" s="0" t="n">
        <v>0.999937384552769</v>
      </c>
      <c r="G196" s="0" t="n">
        <v>0.965</v>
      </c>
      <c r="H196" s="0" t="n">
        <v>1</v>
      </c>
      <c r="I196" s="0" t="n">
        <v>0.965</v>
      </c>
      <c r="J196" s="0" t="n">
        <v>1</v>
      </c>
      <c r="K196" s="0" t="n">
        <v>0.965</v>
      </c>
      <c r="L196" s="0" t="n">
        <v>1</v>
      </c>
    </row>
    <row r="197" customFormat="false" ht="15" hidden="false" customHeight="false" outlineLevel="0" collapsed="false">
      <c r="A197" s="0" t="n">
        <v>0.97</v>
      </c>
      <c r="B197" s="0" t="n">
        <v>0.999928556119168</v>
      </c>
      <c r="C197" s="0" t="n">
        <v>0.97</v>
      </c>
      <c r="D197" s="0" t="n">
        <v>0.997058823529412</v>
      </c>
      <c r="E197" s="0" t="n">
        <v>0.97</v>
      </c>
      <c r="F197" s="0" t="n">
        <v>0.999953038414577</v>
      </c>
      <c r="G197" s="0" t="n">
        <v>0.97</v>
      </c>
      <c r="H197" s="0" t="n">
        <v>1</v>
      </c>
      <c r="I197" s="0" t="n">
        <v>0.97</v>
      </c>
      <c r="J197" s="0" t="n">
        <v>1</v>
      </c>
      <c r="K197" s="0" t="n">
        <v>0.97</v>
      </c>
      <c r="L197" s="0" t="n">
        <v>1</v>
      </c>
    </row>
    <row r="198" customFormat="false" ht="15" hidden="false" customHeight="false" outlineLevel="0" collapsed="false">
      <c r="A198" s="0" t="n">
        <v>0.975</v>
      </c>
      <c r="B198" s="0" t="n">
        <v>0.999928556119168</v>
      </c>
      <c r="C198" s="0" t="n">
        <v>0.975</v>
      </c>
      <c r="D198" s="0" t="n">
        <v>0.998088235294118</v>
      </c>
      <c r="E198" s="0" t="n">
        <v>0.975</v>
      </c>
      <c r="F198" s="0" t="n">
        <v>0.999968692276385</v>
      </c>
      <c r="G198" s="0" t="n">
        <v>0.975</v>
      </c>
      <c r="H198" s="0" t="n">
        <v>1</v>
      </c>
      <c r="I198" s="0" t="n">
        <v>0.975</v>
      </c>
      <c r="J198" s="0" t="n">
        <v>1</v>
      </c>
      <c r="K198" s="0" t="n">
        <v>0.975</v>
      </c>
      <c r="L198" s="0" t="n">
        <v>1</v>
      </c>
    </row>
    <row r="199" customFormat="false" ht="15" hidden="false" customHeight="false" outlineLevel="0" collapsed="false">
      <c r="A199" s="0" t="n">
        <v>0.98</v>
      </c>
      <c r="B199" s="0" t="n">
        <v>0.999928556119168</v>
      </c>
      <c r="C199" s="0" t="n">
        <v>0.98</v>
      </c>
      <c r="D199" s="0" t="n">
        <v>0.998529411764706</v>
      </c>
      <c r="E199" s="0" t="n">
        <v>0.98</v>
      </c>
      <c r="F199" s="0" t="n">
        <v>0.999984346138192</v>
      </c>
      <c r="G199" s="0" t="n">
        <v>0.98</v>
      </c>
      <c r="H199" s="0" t="n">
        <v>1</v>
      </c>
      <c r="I199" s="0" t="n">
        <v>0.98</v>
      </c>
      <c r="J199" s="0" t="n">
        <v>1</v>
      </c>
      <c r="K199" s="0" t="n">
        <v>0.98</v>
      </c>
      <c r="L199" s="0" t="n">
        <v>1</v>
      </c>
    </row>
    <row r="200" customFormat="false" ht="15" hidden="false" customHeight="false" outlineLevel="0" collapsed="false">
      <c r="A200" s="0" t="n">
        <v>0.985</v>
      </c>
      <c r="B200" s="0" t="n">
        <v>1</v>
      </c>
      <c r="C200" s="0" t="n">
        <v>0.985</v>
      </c>
      <c r="D200" s="0" t="n">
        <v>0.998970588235294</v>
      </c>
      <c r="E200" s="0" t="n">
        <v>0.985</v>
      </c>
      <c r="F200" s="0" t="n">
        <v>0.999984346138192</v>
      </c>
      <c r="G200" s="0" t="n">
        <v>0.985</v>
      </c>
      <c r="H200" s="0" t="n">
        <v>1</v>
      </c>
      <c r="I200" s="0" t="n">
        <v>0.985</v>
      </c>
      <c r="J200" s="0" t="n">
        <v>1</v>
      </c>
      <c r="K200" s="0" t="n">
        <v>0.985</v>
      </c>
      <c r="L200" s="0" t="n">
        <v>1</v>
      </c>
    </row>
    <row r="201" customFormat="false" ht="15" hidden="false" customHeight="false" outlineLevel="0" collapsed="false">
      <c r="A201" s="0" t="n">
        <v>0.99</v>
      </c>
      <c r="B201" s="0" t="n">
        <v>1</v>
      </c>
      <c r="C201" s="0" t="n">
        <v>0.99</v>
      </c>
      <c r="D201" s="0" t="n">
        <v>0.999558823529412</v>
      </c>
      <c r="E201" s="0" t="n">
        <v>0.99</v>
      </c>
      <c r="F201" s="0" t="n">
        <v>1</v>
      </c>
      <c r="G201" s="0" t="n">
        <v>0.99</v>
      </c>
      <c r="H201" s="0" t="n">
        <v>1</v>
      </c>
      <c r="I201" s="0" t="n">
        <v>0.99</v>
      </c>
      <c r="J201" s="0" t="n">
        <v>1</v>
      </c>
      <c r="K201" s="0" t="n">
        <v>0.99</v>
      </c>
      <c r="L201" s="0" t="n">
        <v>1</v>
      </c>
    </row>
    <row r="202" customFormat="false" ht="15" hidden="false" customHeight="false" outlineLevel="0" collapsed="false">
      <c r="A202" s="0" t="n">
        <v>0.995</v>
      </c>
      <c r="B202" s="0" t="n">
        <v>1</v>
      </c>
      <c r="C202" s="0" t="n">
        <v>0.995</v>
      </c>
      <c r="D202" s="0" t="n">
        <v>0.999705882352941</v>
      </c>
      <c r="E202" s="0" t="n">
        <v>0.995</v>
      </c>
      <c r="F202" s="0" t="n">
        <v>1</v>
      </c>
      <c r="G202" s="0" t="n">
        <v>0.995</v>
      </c>
      <c r="H202" s="0" t="n">
        <v>1</v>
      </c>
      <c r="I202" s="0" t="n">
        <v>0.995</v>
      </c>
      <c r="J202" s="0" t="n">
        <v>1</v>
      </c>
      <c r="K202" s="0" t="n">
        <v>0.995</v>
      </c>
      <c r="L202" s="0" t="n">
        <v>1</v>
      </c>
    </row>
    <row r="203" customFormat="false" ht="15" hidden="false" customHeight="false" outlineLevel="0" collapsed="false">
      <c r="A203" s="0" t="n">
        <v>1</v>
      </c>
      <c r="B203" s="0" t="n">
        <v>1</v>
      </c>
      <c r="C203" s="0" t="n">
        <v>1</v>
      </c>
      <c r="D203" s="0" t="n">
        <v>1</v>
      </c>
      <c r="E203" s="0" t="n">
        <v>1</v>
      </c>
      <c r="F203" s="0" t="n">
        <v>1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5"/>
    <col collapsed="false" customWidth="true" hidden="false" outlineLevel="0" max="4" min="3" style="0" width="20"/>
    <col collapsed="false" customWidth="true" hidden="false" outlineLevel="0" max="5" min="5" style="0" width="3"/>
  </cols>
  <sheetData>
    <row r="1" customFormat="false" ht="12" hidden="false" customHeight="true" outlineLevel="0" collapsed="false"/>
    <row r="2" customFormat="false" ht="24" hidden="false" customHeight="true" outlineLevel="0" collapsed="false">
      <c r="C2" s="4" t="s">
        <v>28</v>
      </c>
      <c r="D2" s="4" t="s">
        <v>29</v>
      </c>
    </row>
    <row r="3" customFormat="false" ht="78" hidden="false" customHeight="true" outlineLevel="0" collapsed="false">
      <c r="A3" s="5" t="s">
        <v>30</v>
      </c>
      <c r="B3" s="6" t="s">
        <v>28</v>
      </c>
      <c r="C3" s="7" t="n">
        <f aca="false">ROC_data!O2</f>
        <v>2548</v>
      </c>
      <c r="D3" s="7" t="n">
        <f aca="false">ROC_data!P2</f>
        <v>251</v>
      </c>
    </row>
    <row r="4" customFormat="false" ht="78" hidden="false" customHeight="true" outlineLevel="0" collapsed="false">
      <c r="A4" s="5"/>
      <c r="B4" s="6" t="s">
        <v>29</v>
      </c>
      <c r="C4" s="7" t="n">
        <f aca="false">ROC_data!Q2</f>
        <v>499</v>
      </c>
      <c r="D4" s="7" t="n">
        <f aca="false">ROC_data!R2</f>
        <v>13498</v>
      </c>
    </row>
    <row r="5" customFormat="false" ht="24" hidden="false" customHeight="true" outlineLevel="0" collapsed="false">
      <c r="C5" s="4" t="s">
        <v>28</v>
      </c>
      <c r="D5" s="4" t="s">
        <v>29</v>
      </c>
    </row>
    <row r="6" customFormat="false" ht="25.5" hidden="false" customHeight="true" outlineLevel="0" collapsed="false">
      <c r="C6" s="8" t="s">
        <v>31</v>
      </c>
      <c r="D6" s="8"/>
    </row>
    <row r="20" customFormat="false" ht="15" hidden="false" customHeight="false" outlineLevel="0" collapsed="false">
      <c r="G20" s="9" t="str">
        <f aca="false">"FF++ C23 (AUC = "&amp;TEXT(ROC_data!S2,"0.000")&amp;")"</f>
        <v>FF++ C23 (AUC = 0.985)</v>
      </c>
    </row>
    <row r="21" customFormat="false" ht="15" hidden="false" customHeight="false" outlineLevel="0" collapsed="false">
      <c r="G21" s="9" t="s">
        <v>32</v>
      </c>
    </row>
    <row r="24" customFormat="false" ht="15" hidden="false" customHeight="false" outlineLevel="0" collapsed="false">
      <c r="C24" s="10"/>
    </row>
  </sheetData>
  <mergeCells count="2">
    <mergeCell ref="A3:A4"/>
    <mergeCell ref="C6:D6"/>
  </mergeCells>
  <conditionalFormatting sqref="C3:D4">
    <cfRule type="colorScale" priority="2">
      <colorScale>
        <cfvo type="min" val="0"/>
        <cfvo type="percentile" val="50"/>
        <cfvo type="max" val="0"/>
        <color rgb="FFBDD7EE"/>
        <color rgb="FFA9C0DC"/>
        <color rgb="FF1F3864"/>
      </colorScale>
    </cfRule>
    <cfRule type="expression" priority="3" aboveAverage="0" equalAverage="0" bottom="0" percent="0" rank="0" text="" dxfId="0">
      <formula>C3&gt;=0.5*MAX($C$3:$D$4)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5"/>
    <col collapsed="false" customWidth="true" hidden="false" outlineLevel="0" max="4" min="3" style="0" width="20"/>
    <col collapsed="false" customWidth="true" hidden="false" outlineLevel="0" max="5" min="5" style="0" width="3"/>
  </cols>
  <sheetData>
    <row r="1" customFormat="false" ht="12" hidden="false" customHeight="true" outlineLevel="0" collapsed="false"/>
    <row r="2" customFormat="false" ht="24" hidden="false" customHeight="true" outlineLevel="0" collapsed="false">
      <c r="C2" s="4" t="s">
        <v>28</v>
      </c>
      <c r="D2" s="4" t="s">
        <v>29</v>
      </c>
    </row>
    <row r="3" customFormat="false" ht="78" hidden="false" customHeight="true" outlineLevel="0" collapsed="false">
      <c r="A3" s="5" t="s">
        <v>30</v>
      </c>
      <c r="B3" s="6" t="s">
        <v>28</v>
      </c>
      <c r="C3" s="7" t="n">
        <f aca="false">ROC_data!O3</f>
        <v>1225</v>
      </c>
      <c r="D3" s="7" t="n">
        <f aca="false">ROC_data!P3</f>
        <v>2332</v>
      </c>
    </row>
    <row r="4" customFormat="false" ht="78" hidden="false" customHeight="true" outlineLevel="0" collapsed="false">
      <c r="A4" s="5"/>
      <c r="B4" s="6" t="s">
        <v>29</v>
      </c>
      <c r="C4" s="7" t="n">
        <f aca="false">ROC_data!Q3</f>
        <v>1242</v>
      </c>
      <c r="D4" s="7" t="n">
        <f aca="false">ROC_data!R3</f>
        <v>5558</v>
      </c>
    </row>
    <row r="5" customFormat="false" ht="24" hidden="false" customHeight="true" outlineLevel="0" collapsed="false">
      <c r="C5" s="4" t="s">
        <v>28</v>
      </c>
      <c r="D5" s="4" t="s">
        <v>29</v>
      </c>
    </row>
    <row r="6" customFormat="false" ht="25.5" hidden="false" customHeight="true" outlineLevel="0" collapsed="false">
      <c r="C6" s="8" t="s">
        <v>31</v>
      </c>
      <c r="D6" s="8"/>
    </row>
    <row r="20" customFormat="false" ht="15" hidden="false" customHeight="false" outlineLevel="0" collapsed="false">
      <c r="G20" s="9" t="str">
        <f aca="false">"Celeb-DF v2 (AUC = "&amp;TEXT(ROC_data!S3,"0.000")&amp;")"</f>
        <v>Celeb-DF v2 (AUC = 0.659)</v>
      </c>
    </row>
    <row r="21" customFormat="false" ht="15" hidden="false" customHeight="false" outlineLevel="0" collapsed="false">
      <c r="G21" s="9" t="s">
        <v>32</v>
      </c>
    </row>
    <row r="24" customFormat="false" ht="15" hidden="false" customHeight="false" outlineLevel="0" collapsed="false">
      <c r="C24" s="10"/>
    </row>
  </sheetData>
  <mergeCells count="2">
    <mergeCell ref="A3:A4"/>
    <mergeCell ref="C6:D6"/>
  </mergeCells>
  <conditionalFormatting sqref="C3:D4">
    <cfRule type="colorScale" priority="2">
      <colorScale>
        <cfvo type="min" val="0"/>
        <cfvo type="percentile" val="50"/>
        <cfvo type="max" val="0"/>
        <color rgb="FFBDD7EE"/>
        <color rgb="FFA9C0DC"/>
        <color rgb="FF1F3864"/>
      </colorScale>
    </cfRule>
    <cfRule type="expression" priority="3" aboveAverage="0" equalAverage="0" bottom="0" percent="0" rank="0" text="" dxfId="0">
      <formula>C3&gt;=0.5*MAX($C$3:$D$4)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5"/>
    <col collapsed="false" customWidth="true" hidden="false" outlineLevel="0" max="4" min="3" style="0" width="20"/>
    <col collapsed="false" customWidth="true" hidden="false" outlineLevel="0" max="5" min="5" style="0" width="3"/>
  </cols>
  <sheetData>
    <row r="1" customFormat="false" ht="12" hidden="false" customHeight="true" outlineLevel="0" collapsed="false"/>
    <row r="2" customFormat="false" ht="24" hidden="false" customHeight="true" outlineLevel="0" collapsed="false">
      <c r="C2" s="4" t="s">
        <v>28</v>
      </c>
      <c r="D2" s="4" t="s">
        <v>29</v>
      </c>
    </row>
    <row r="3" customFormat="false" ht="78" hidden="false" customHeight="true" outlineLevel="0" collapsed="false">
      <c r="A3" s="5" t="s">
        <v>30</v>
      </c>
      <c r="B3" s="6" t="s">
        <v>28</v>
      </c>
      <c r="C3" s="7" t="n">
        <f aca="false">ROC_data!O4</f>
        <v>6139</v>
      </c>
      <c r="D3" s="7" t="n">
        <f aca="false">ROC_data!P4</f>
        <v>1216</v>
      </c>
    </row>
    <row r="4" customFormat="false" ht="78" hidden="false" customHeight="true" outlineLevel="0" collapsed="false">
      <c r="A4" s="5"/>
      <c r="B4" s="6" t="s">
        <v>29</v>
      </c>
      <c r="C4" s="7" t="n">
        <f aca="false">ROC_data!Q4</f>
        <v>10580</v>
      </c>
      <c r="D4" s="7" t="n">
        <f aca="false">ROC_data!R4</f>
        <v>53302</v>
      </c>
    </row>
    <row r="5" customFormat="false" ht="24" hidden="false" customHeight="true" outlineLevel="0" collapsed="false">
      <c r="C5" s="4" t="s">
        <v>28</v>
      </c>
      <c r="D5" s="4" t="s">
        <v>29</v>
      </c>
    </row>
    <row r="6" customFormat="false" ht="25.5" hidden="false" customHeight="true" outlineLevel="0" collapsed="false">
      <c r="C6" s="8" t="s">
        <v>31</v>
      </c>
      <c r="D6" s="8"/>
    </row>
    <row r="20" customFormat="false" ht="15" hidden="false" customHeight="false" outlineLevel="0" collapsed="false">
      <c r="G20" s="9" t="str">
        <f aca="false">"ASVspoof 2019 LA (AUC = "&amp;TEXT(ROC_data!S4,"0.000")&amp;")"</f>
        <v>ASVspoof 2019 LA (AUC = 0.919)</v>
      </c>
    </row>
    <row r="21" customFormat="false" ht="15" hidden="false" customHeight="false" outlineLevel="0" collapsed="false">
      <c r="G21" s="9" t="s">
        <v>32</v>
      </c>
    </row>
    <row r="24" customFormat="false" ht="15" hidden="false" customHeight="false" outlineLevel="0" collapsed="false">
      <c r="C24" s="10"/>
    </row>
  </sheetData>
  <mergeCells count="2">
    <mergeCell ref="A3:A4"/>
    <mergeCell ref="C6:D6"/>
  </mergeCells>
  <conditionalFormatting sqref="C3:D4">
    <cfRule type="colorScale" priority="2">
      <colorScale>
        <cfvo type="min" val="0"/>
        <cfvo type="percentile" val="50"/>
        <cfvo type="max" val="0"/>
        <color rgb="FFBDD7EE"/>
        <color rgb="FFA9C0DC"/>
        <color rgb="FF1F3864"/>
      </colorScale>
    </cfRule>
    <cfRule type="expression" priority="3" aboveAverage="0" equalAverage="0" bottom="0" percent="0" rank="0" text="" dxfId="0">
      <formula>C3&gt;=0.5*MAX($C$3:$D$4)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5"/>
    <col collapsed="false" customWidth="true" hidden="false" outlineLevel="0" max="4" min="3" style="0" width="20"/>
    <col collapsed="false" customWidth="true" hidden="false" outlineLevel="0" max="5" min="5" style="0" width="3"/>
  </cols>
  <sheetData>
    <row r="1" customFormat="false" ht="12" hidden="false" customHeight="true" outlineLevel="0" collapsed="false"/>
    <row r="2" customFormat="false" ht="24" hidden="false" customHeight="true" outlineLevel="0" collapsed="false">
      <c r="C2" s="4" t="s">
        <v>28</v>
      </c>
      <c r="D2" s="4" t="s">
        <v>29</v>
      </c>
    </row>
    <row r="3" customFormat="false" ht="78" hidden="false" customHeight="true" outlineLevel="0" collapsed="false">
      <c r="A3" s="5" t="s">
        <v>30</v>
      </c>
      <c r="B3" s="6" t="s">
        <v>28</v>
      </c>
      <c r="C3" s="7" t="n">
        <f aca="false">ROC_data!O5</f>
        <v>86</v>
      </c>
      <c r="D3" s="7" t="n">
        <f aca="false">ROC_data!P5</f>
        <v>0</v>
      </c>
    </row>
    <row r="4" customFormat="false" ht="78" hidden="false" customHeight="true" outlineLevel="0" collapsed="false">
      <c r="A4" s="5"/>
      <c r="B4" s="6" t="s">
        <v>29</v>
      </c>
      <c r="C4" s="7" t="n">
        <f aca="false">ROC_data!Q5</f>
        <v>1</v>
      </c>
      <c r="D4" s="7" t="n">
        <f aca="false">ROC_data!R5</f>
        <v>56</v>
      </c>
    </row>
    <row r="5" customFormat="false" ht="24" hidden="false" customHeight="true" outlineLevel="0" collapsed="false">
      <c r="C5" s="4" t="s">
        <v>28</v>
      </c>
      <c r="D5" s="4" t="s">
        <v>29</v>
      </c>
    </row>
    <row r="6" customFormat="false" ht="25.5" hidden="false" customHeight="true" outlineLevel="0" collapsed="false">
      <c r="C6" s="8" t="s">
        <v>31</v>
      </c>
      <c r="D6" s="8"/>
    </row>
    <row r="20" customFormat="false" ht="15" hidden="false" customHeight="false" outlineLevel="0" collapsed="false">
      <c r="G20" s="9" t="str">
        <f aca="false">"FakeAVCeleb v1.2 Visual (AUC = "&amp;TEXT(ROC_data!S5,"0.000")&amp;")"</f>
        <v>FakeAVCeleb v1.2 Visual (AUC = 1.000)</v>
      </c>
    </row>
    <row r="21" customFormat="false" ht="15" hidden="false" customHeight="false" outlineLevel="0" collapsed="false">
      <c r="G21" s="9" t="s">
        <v>32</v>
      </c>
    </row>
    <row r="24" customFormat="false" ht="15" hidden="false" customHeight="false" outlineLevel="0" collapsed="false">
      <c r="C24" s="10"/>
    </row>
  </sheetData>
  <mergeCells count="2">
    <mergeCell ref="A3:A4"/>
    <mergeCell ref="C6:D6"/>
  </mergeCells>
  <conditionalFormatting sqref="C3:D4">
    <cfRule type="colorScale" priority="2">
      <colorScale>
        <cfvo type="min" val="0"/>
        <cfvo type="percentile" val="50"/>
        <cfvo type="max" val="0"/>
        <color rgb="FFBDD7EE"/>
        <color rgb="FFA9C0DC"/>
        <color rgb="FF1F3864"/>
      </colorScale>
    </cfRule>
    <cfRule type="expression" priority="3" aboveAverage="0" equalAverage="0" bottom="0" percent="0" rank="0" text="" dxfId="0">
      <formula>C3&gt;=0.5*MAX($C$3:$D$4)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5"/>
    <col collapsed="false" customWidth="true" hidden="false" outlineLevel="0" max="4" min="3" style="0" width="20"/>
    <col collapsed="false" customWidth="true" hidden="false" outlineLevel="0" max="5" min="5" style="0" width="3"/>
  </cols>
  <sheetData>
    <row r="1" customFormat="false" ht="12" hidden="false" customHeight="true" outlineLevel="0" collapsed="false"/>
    <row r="2" customFormat="false" ht="24" hidden="false" customHeight="true" outlineLevel="0" collapsed="false">
      <c r="C2" s="4" t="s">
        <v>28</v>
      </c>
      <c r="D2" s="4" t="s">
        <v>29</v>
      </c>
    </row>
    <row r="3" customFormat="false" ht="78" hidden="false" customHeight="true" outlineLevel="0" collapsed="false">
      <c r="A3" s="5" t="s">
        <v>30</v>
      </c>
      <c r="B3" s="6" t="s">
        <v>28</v>
      </c>
      <c r="C3" s="7" t="n">
        <f aca="false">ROC_data!O6</f>
        <v>102</v>
      </c>
      <c r="D3" s="7" t="n">
        <f aca="false">ROC_data!P6</f>
        <v>2</v>
      </c>
    </row>
    <row r="4" customFormat="false" ht="78" hidden="false" customHeight="true" outlineLevel="0" collapsed="false">
      <c r="A4" s="5"/>
      <c r="B4" s="6" t="s">
        <v>29</v>
      </c>
      <c r="C4" s="7" t="n">
        <f aca="false">ROC_data!Q6</f>
        <v>1</v>
      </c>
      <c r="D4" s="7" t="n">
        <f aca="false">ROC_data!R6</f>
        <v>38</v>
      </c>
    </row>
    <row r="5" customFormat="false" ht="24" hidden="false" customHeight="true" outlineLevel="0" collapsed="false">
      <c r="C5" s="4" t="s">
        <v>28</v>
      </c>
      <c r="D5" s="4" t="s">
        <v>29</v>
      </c>
    </row>
    <row r="6" customFormat="false" ht="25.5" hidden="false" customHeight="true" outlineLevel="0" collapsed="false">
      <c r="C6" s="8" t="s">
        <v>31</v>
      </c>
      <c r="D6" s="8"/>
    </row>
    <row r="20" customFormat="false" ht="15" hidden="false" customHeight="false" outlineLevel="0" collapsed="false">
      <c r="G20" s="9" t="str">
        <f aca="false">"FakeAVCeleb v1.2 Audio (AUC = "&amp;TEXT(ROC_data!S6,"0.000")&amp;")"</f>
        <v>FakeAVCeleb v1.2 Audio (AUC = 0.988)</v>
      </c>
    </row>
    <row r="21" customFormat="false" ht="15" hidden="false" customHeight="false" outlineLevel="0" collapsed="false">
      <c r="G21" s="9" t="s">
        <v>32</v>
      </c>
    </row>
    <row r="24" customFormat="false" ht="15" hidden="false" customHeight="false" outlineLevel="0" collapsed="false">
      <c r="C24" s="10"/>
    </row>
  </sheetData>
  <mergeCells count="2">
    <mergeCell ref="A3:A4"/>
    <mergeCell ref="C6:D6"/>
  </mergeCells>
  <conditionalFormatting sqref="C3:D4">
    <cfRule type="colorScale" priority="2">
      <colorScale>
        <cfvo type="min" val="0"/>
        <cfvo type="percentile" val="50"/>
        <cfvo type="max" val="0"/>
        <color rgb="FFBDD7EE"/>
        <color rgb="FFA9C0DC"/>
        <color rgb="FF1F3864"/>
      </colorScale>
    </cfRule>
    <cfRule type="expression" priority="3" aboveAverage="0" equalAverage="0" bottom="0" percent="0" rank="0" text="" dxfId="0">
      <formula>C3&gt;=0.5*MAX($C$3:$D$4)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5"/>
    <col collapsed="false" customWidth="true" hidden="false" outlineLevel="0" max="4" min="3" style="0" width="20"/>
    <col collapsed="false" customWidth="true" hidden="false" outlineLevel="0" max="5" min="5" style="0" width="3"/>
  </cols>
  <sheetData>
    <row r="1" customFormat="false" ht="12" hidden="false" customHeight="true" outlineLevel="0" collapsed="false"/>
    <row r="2" customFormat="false" ht="24" hidden="false" customHeight="true" outlineLevel="0" collapsed="false">
      <c r="C2" s="4" t="s">
        <v>28</v>
      </c>
      <c r="D2" s="4" t="s">
        <v>29</v>
      </c>
    </row>
    <row r="3" customFormat="false" ht="78" hidden="false" customHeight="true" outlineLevel="0" collapsed="false">
      <c r="A3" s="5" t="s">
        <v>30</v>
      </c>
      <c r="B3" s="6" t="s">
        <v>28</v>
      </c>
      <c r="C3" s="7" t="n">
        <f aca="false">ROC_data!O7</f>
        <v>86</v>
      </c>
      <c r="D3" s="7" t="n">
        <f aca="false">ROC_data!P7</f>
        <v>0</v>
      </c>
    </row>
    <row r="4" customFormat="false" ht="78" hidden="false" customHeight="true" outlineLevel="0" collapsed="false">
      <c r="A4" s="5"/>
      <c r="B4" s="6" t="s">
        <v>29</v>
      </c>
      <c r="C4" s="7" t="n">
        <f aca="false">ROC_data!Q7</f>
        <v>1</v>
      </c>
      <c r="D4" s="7" t="n">
        <f aca="false">ROC_data!R7</f>
        <v>56</v>
      </c>
    </row>
    <row r="5" customFormat="false" ht="24" hidden="false" customHeight="true" outlineLevel="0" collapsed="false">
      <c r="C5" s="4" t="s">
        <v>28</v>
      </c>
      <c r="D5" s="4" t="s">
        <v>29</v>
      </c>
    </row>
    <row r="6" customFormat="false" ht="25.5" hidden="false" customHeight="true" outlineLevel="0" collapsed="false">
      <c r="C6" s="8" t="s">
        <v>31</v>
      </c>
      <c r="D6" s="8"/>
    </row>
    <row r="20" customFormat="false" ht="15" hidden="false" customHeight="false" outlineLevel="0" collapsed="false">
      <c r="G20" s="9" t="str">
        <f aca="false">"FakeAVCeleb v1.2 AV Fusion (AUC = "&amp;TEXT(ROC_data!S7,"0.000")&amp;")"</f>
        <v>FakeAVCeleb v1.2 AV Fusion (AUC = 1.000)</v>
      </c>
    </row>
    <row r="21" customFormat="false" ht="15" hidden="false" customHeight="false" outlineLevel="0" collapsed="false">
      <c r="G21" s="9" t="s">
        <v>32</v>
      </c>
    </row>
    <row r="24" customFormat="false" ht="15" hidden="false" customHeight="false" outlineLevel="0" collapsed="false">
      <c r="C24" s="10"/>
    </row>
  </sheetData>
  <mergeCells count="2">
    <mergeCell ref="A3:A4"/>
    <mergeCell ref="C6:D6"/>
  </mergeCells>
  <conditionalFormatting sqref="C3:D4">
    <cfRule type="colorScale" priority="2">
      <colorScale>
        <cfvo type="min" val="0"/>
        <cfvo type="percentile" val="50"/>
        <cfvo type="max" val="0"/>
        <color rgb="FFBDD7EE"/>
        <color rgb="FFA9C0DC"/>
        <color rgb="FF1F3864"/>
      </colorScale>
    </cfRule>
    <cfRule type="expression" priority="3" aboveAverage="0" equalAverage="0" bottom="0" percent="0" rank="0" text="" dxfId="0">
      <formula>C3&gt;=0.5*MAX($C$3:$D$4)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2"/>
  </cols>
  <sheetData>
    <row r="2" customFormat="false" ht="15" hidden="false" customHeight="false" outlineLevel="0" collapsed="false">
      <c r="B2" s="1" t="s">
        <v>33</v>
      </c>
      <c r="C2" s="1" t="s">
        <v>34</v>
      </c>
    </row>
    <row r="3" customFormat="false" ht="15" hidden="false" customHeight="false" outlineLevel="0" collapsed="false">
      <c r="B3" s="11" t="s">
        <v>35</v>
      </c>
      <c r="C3" s="11" t="n">
        <v>2.87</v>
      </c>
    </row>
    <row r="4" customFormat="false" ht="15" hidden="false" customHeight="false" outlineLevel="0" collapsed="false">
      <c r="B4" s="11" t="s">
        <v>36</v>
      </c>
      <c r="C4" s="11" t="n">
        <v>1.26</v>
      </c>
    </row>
    <row r="5" customFormat="false" ht="15" hidden="false" customHeight="false" outlineLevel="0" collapsed="false">
      <c r="B5" s="11" t="s">
        <v>37</v>
      </c>
      <c r="C5" s="11" t="n">
        <v>2.34</v>
      </c>
    </row>
    <row r="6" customFormat="false" ht="15" hidden="false" customHeight="false" outlineLevel="0" collapsed="false">
      <c r="B6" s="11" t="s">
        <v>38</v>
      </c>
      <c r="C6" s="11" t="n">
        <v>188.92</v>
      </c>
    </row>
    <row r="7" customFormat="false" ht="15" hidden="false" customHeight="false" outlineLevel="0" collapsed="false">
      <c r="B7" s="1" t="s">
        <v>39</v>
      </c>
      <c r="C7" s="12" t="n">
        <f aca="false">SUM(C3:C6)</f>
        <v>195.39</v>
      </c>
    </row>
    <row r="9" customFormat="false" ht="15" hidden="false" customHeight="false" outlineLevel="0" collapsed="false">
      <c r="B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LibreOffice_project/f58cec7047c8c23ebe1a1fb1be361bbdc44a7ca5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2026-09-26T00:09:33Z</dcterms:created>
  <dc:creator>openpyxl</dc:creator>
  <dc:description/>
  <dc:language>en-GB</dc:language>
  <cp:lastModifiedBy/>
  <dcterms:modified xsi:type="dcterms:W3CDTF">2026-10-09T13:29:54Z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